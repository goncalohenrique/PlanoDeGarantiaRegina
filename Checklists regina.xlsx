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bens " sheetId="1" r:id="rId5"/>
    <sheet state="visible" name="Lista de requisitos funcionais" sheetId="2" r:id="rId6"/>
    <sheet state="visible" name="Especificação de casos de uso" sheetId="3" r:id="rId7"/>
    <sheet state="visible" name="Lista de requisitos não funcion" sheetId="4" r:id="rId8"/>
    <sheet state="visible" name="Diagrama de Classes" sheetId="5" r:id="rId9"/>
  </sheets>
  <definedNames>
    <definedName hidden="1" localSheetId="0" name="_xlnm._FilterDatabase">'Rubens '!$A$4:$H$25</definedName>
  </definedNames>
  <calcPr/>
</workbook>
</file>

<file path=xl/sharedStrings.xml><?xml version="1.0" encoding="utf-8"?>
<sst xmlns="http://schemas.openxmlformats.org/spreadsheetml/2006/main" count="592" uniqueCount="254">
  <si>
    <t>CHECKLIST DE VALIDAÇÃO — DIAGRAMA DE CASO DE USO</t>
  </si>
  <si>
    <t>CHECKLIST DE VALIDAÇÃO — ESPECIFICAÇÃO DE CASO DE USO</t>
  </si>
  <si>
    <t>CHECKLIST DE VALIDAÇÃO — LISTA DE REQUISITOS FUNCIONAIS</t>
  </si>
  <si>
    <t>CHECKLIST DE VALIDAÇÃO — LISTA DE REQUISITOS NÃO FUNCIONAIS</t>
  </si>
  <si>
    <t>Nº</t>
  </si>
  <si>
    <t>Pergunta de validação</t>
  </si>
  <si>
    <t>C/NC/NA</t>
  </si>
  <si>
    <t>Descrição</t>
  </si>
  <si>
    <t>observações</t>
  </si>
  <si>
    <t>Impacto</t>
  </si>
  <si>
    <t>Dh Limite</t>
  </si>
  <si>
    <t>Resultado</t>
  </si>
  <si>
    <t>Statuts</t>
  </si>
  <si>
    <t>Observações</t>
  </si>
  <si>
    <t>Responsável</t>
  </si>
  <si>
    <t>Data Limite</t>
  </si>
  <si>
    <t>Situação da NC</t>
  </si>
  <si>
    <t>Ação corretiva indicada</t>
  </si>
  <si>
    <t>Cada requisito possui um identificador único (ex.: RF001)?</t>
  </si>
  <si>
    <t>Todos os passos do fluxo principal estão bem definidos e não ambíguos?</t>
  </si>
  <si>
    <t>Classificação da NC</t>
  </si>
  <si>
    <t>Todos os requisitos não funcionais possuem um identificador único (ID)</t>
  </si>
  <si>
    <t>C</t>
  </si>
  <si>
    <t>Todos os requisitos possuem identificador no padrão RFxxx.</t>
  </si>
  <si>
    <t>RQN01 a RQN05 são IDs únicos.</t>
  </si>
  <si>
    <t>Conforme</t>
  </si>
  <si>
    <t>A numeração dos requisitos é sequencial, sem lacunas ou duplicidades?</t>
  </si>
  <si>
    <t>Numeração sequencial de RF001 a RF017, sem lacunas ou duplicidades.</t>
  </si>
  <si>
    <t>Caso o fluxo possua fluxo de exceção, todos os passos estão bem definidos e não ambíguos?</t>
  </si>
  <si>
    <t>Cada requisito indica o requisitante / origem (stakeholder responsável)?</t>
  </si>
  <si>
    <t>A coluna "Requisitante" está preenchida em todos os requisitos.</t>
  </si>
  <si>
    <t>Cada requisito pode ser rastreado até uma necessidade descrita no contexto ou na justificativa do projeto?</t>
  </si>
  <si>
    <t xml:space="preserve">O limite do sistema está desenhado e identificado com o nome do sistema?
</t>
  </si>
  <si>
    <t>Os requisitos rastreiam ao contexto/justificativa.</t>
  </si>
  <si>
    <t>Todos os casos de uso possuem identificador (ID)?</t>
  </si>
  <si>
    <t>A lista cobre todas as funcionalidades citadas no contexto de negócio e na justificativa?</t>
  </si>
  <si>
    <t>Conforme avaliado, o limite do sistema está coformemente desenhado e identificado</t>
  </si>
  <si>
    <t>Existe alguma explicação ou glossário para as siglas e palavras difíceis usadas no texto?</t>
  </si>
  <si>
    <t>NC</t>
  </si>
  <si>
    <t>Não há glossário nem explicação das siglas utilizadas.</t>
  </si>
  <si>
    <t>Baixa</t>
  </si>
  <si>
    <t>Alto</t>
  </si>
  <si>
    <t>Aberta</t>
  </si>
  <si>
    <t>Gianluca</t>
  </si>
  <si>
    <t>A cobertura da funcionalidade está completa.</t>
  </si>
  <si>
    <t xml:space="preserve">Cada ator está posicionado fora do limite do sistema e identificado pelo papel que desempenha?
</t>
  </si>
  <si>
    <t>Adicionar glossário com RNF, UI/UX, LGPD e demais termos técnicos.</t>
  </si>
  <si>
    <t>Sim, cada ator está posicionado fora do Limite, de forma correta!</t>
  </si>
  <si>
    <t>baixo</t>
  </si>
  <si>
    <t>Os itens são claros, objetivos e livres de ambiguidades (sem termos vagos como 'rápido' ou 'seguro')</t>
  </si>
  <si>
    <t>Todos os campos da tabela estão preenchidos em cada requisito?</t>
  </si>
  <si>
    <t>Há termos sem critério objetivo, como 'totalmente funcional', 'responsiva' e 'padrão visual consistente'.</t>
  </si>
  <si>
    <t>Todos os campos da tabela estão preenchidos.</t>
  </si>
  <si>
    <t>Média</t>
  </si>
  <si>
    <t xml:space="preserve">Cada caso de uso está dentro do limite do sistema ?
</t>
  </si>
  <si>
    <t>Sim, cada caso de uso está dentro do limite do sistema</t>
  </si>
  <si>
    <t>Definir critérios objetivos e verificáveis para esses termos.</t>
  </si>
  <si>
    <t>Todos os papéis mencionados possuem os requisitos necessários?</t>
  </si>
  <si>
    <t>Os papéis colaborador, recrutador e moderador possuem requisitos associados.</t>
  </si>
  <si>
    <t>Cada requisito não funcional é mensurável, testável e possui critérios de aceitação quantitativos definidos</t>
  </si>
  <si>
    <t xml:space="preserve">Todos os Casos de Uso estão contidos dentro da fronteira do sistema?
</t>
  </si>
  <si>
    <t>13/set</t>
  </si>
  <si>
    <t>RQN01 e RQN03 não apresentam critérios quantitativos de aceitação.</t>
  </si>
  <si>
    <t>Sim, todos estão, de forma correta</t>
  </si>
  <si>
    <t>alto</t>
  </si>
  <si>
    <t>Avaliar a inclusão de requisitos para editar/excluir vaga e para excluir atividade.</t>
  </si>
  <si>
    <t>Existem requisitos para as operações essenciais sobre as entidades principais?</t>
  </si>
  <si>
    <t>Incluir métricas e critérios de aceite para todos os RNFs.</t>
  </si>
  <si>
    <t>Todos os casos de uso possuem ator principal indicado?</t>
  </si>
  <si>
    <t>Vaga só possui criação (RF005) e busca (RF007), sem editar/excluir; Atividade possui criar (RF003) e alterar estado (RF010), sem exclusão.</t>
  </si>
  <si>
    <t xml:space="preserve">Cada relação «include» utilizada apresenta o tipo e a direção da seta corretos?
</t>
  </si>
  <si>
    <t>O documento abrange as categorias essenciais de qualidade (Desempenho, Segurança, Confiabilidade, Usabilidade, etc.)</t>
  </si>
  <si>
    <t>Sim, todos os includes estão posicionado e indicados de forma correta</t>
  </si>
  <si>
    <t>A descrição de cada requisito é clara e compreensível, sem interpretação subjetiva?</t>
  </si>
  <si>
    <t>Há desempenho e usabilidade, mas faltam requisitos de segurança e confiabilidade/disponibilidade.</t>
  </si>
  <si>
    <t>Alta</t>
  </si>
  <si>
    <t>As descrições são compreensíveis; ressalva pontual em RF004.</t>
  </si>
  <si>
    <t>O ator principal indicado é uma persona do sistema?</t>
  </si>
  <si>
    <t>Revisar ortografia e concordância verbal de todos os requisitos.</t>
  </si>
  <si>
    <t>Adicionar RNFs de segurança, disponibilidade, confiabilidade e recuperação.</t>
  </si>
  <si>
    <t>Os requisitos estão livres de erros ortográficos/gramaticais que prejudiquem o entendimento?</t>
  </si>
  <si>
    <t>RF008 "denúcias", RF005 "postar anúncios vagas", RF015 "os todos os tipos usuários"</t>
  </si>
  <si>
    <t xml:space="preserve">A relação &lt;&lt;extend&gt;&gt; aponta do Caso de Uso opcional para o Caso de Uso base?
</t>
  </si>
  <si>
    <t>A relação do extend está apontando para cada caso de uso de forma correta e com tipo de direção correta</t>
  </si>
  <si>
    <t>Foram especificadas as restrições arquiteturais, de infraestrutura e legais (ex: LGPD)</t>
  </si>
  <si>
    <t>Substituir termos vagos por descrições objetivas e, quando possível, quantificáveis.</t>
  </si>
  <si>
    <t>Os requisitos evitam termos vagos ou ambíguos?</t>
  </si>
  <si>
    <t xml:space="preserve">Cada relação de ator está direcionado com a hierarquia correta?
</t>
  </si>
  <si>
    <t>RF004 utiliza termo vago "diversos perfis" e expressões subjetivas ("adequadamente", "apropriada") na coluna Detalhes.</t>
  </si>
  <si>
    <t>..</t>
  </si>
  <si>
    <t>Não foram definidos requisitos de arquitetura, infraestrutura ou conformidade legal, como LGPD.</t>
  </si>
  <si>
    <t>09/set</t>
  </si>
  <si>
    <t>Padronizar a nomenclatura dos papéis de usuário em toda a lista.</t>
  </si>
  <si>
    <t xml:space="preserve">O diagrama foca nas funcionalidades ("o que") sem misturar detalhes de implementação técnica/telas?
</t>
  </si>
  <si>
    <t>A terminologia dos papéis de usuário é usada de forma consistente em toda a lista?</t>
  </si>
  <si>
    <t>Usuários Gerais, "Usuário colaborador" e "Colaboradores Criadores de Projeto" referem-se ao mesmo papel colaborador.</t>
  </si>
  <si>
    <t>Especificar restrições técnicas, infraestrutura e adequação à LGPD.</t>
  </si>
  <si>
    <t>Cada caso de uso tem uma ação valida?</t>
  </si>
  <si>
    <t>Caso o fluxo possua fluxo alternativo, todos os passos estão bem definidos e não ambíguos?</t>
  </si>
  <si>
    <t>Alinhar o papel citado na descrição com o informado na coluna Requisitante.</t>
  </si>
  <si>
    <t>O artefato especifica como as métricas de qualidade (desempenho, disponibilidade) deverão ser monitoradas quando o sistema estiver em produção (ex: uso de logs, alertas, painéis)</t>
  </si>
  <si>
    <t>O tipo de usuário citado na descrição corresponde ao informado na coluna Requisitante?</t>
  </si>
  <si>
    <t>O documento não informa logs, alertas, painéis ou outra forma de monitorar métricas em produção.</t>
  </si>
  <si>
    <t>Divergência entre descrição e Requisitante: RF001, RF003, RF004 e RF010 "usuário do tipo colaborador" e "Usuários Gerais".</t>
  </si>
  <si>
    <t xml:space="preserve">Há algumas funcionalizadades dentro do caso de uso que ficam abrangentes </t>
  </si>
  <si>
    <t>médio</t>
  </si>
  <si>
    <t>Definir métricas, coleta de logs, alertas e responsáveis pelo monitoramento.</t>
  </si>
  <si>
    <t>13/09/2026</t>
  </si>
  <si>
    <t>Reescrever as justificativas para que reflitam a funcionalidade descrita em cada requisito.</t>
  </si>
  <si>
    <t>Os RNFs estão priorizados corretamente de acordo com o valor de negócio e o risco</t>
  </si>
  <si>
    <t>A coluna "Detalhes / Justificativa" é coerente com a funcionalidade descrita no mesmo requisito?</t>
  </si>
  <si>
    <t>Artur</t>
  </si>
  <si>
    <t>Não há prioridade, valor de negócio ou risco registrados para os RNFs.</t>
  </si>
  <si>
    <t>Deixar menos abrangente</t>
  </si>
  <si>
    <t>Coluna "Detalhes/Justificativa" incoerente com a funcionalidade em diversos itens: RF010, RF011, RF015.</t>
  </si>
  <si>
    <t>Priorizar os RNFs por impacto, risco e valor de negócio.</t>
  </si>
  <si>
    <t xml:space="preserve">A herança/generalização entre Atores ou entre Casos de Uso foi utilizada de forma correta e legível?
</t>
  </si>
  <si>
    <t xml:space="preserve"> </t>
  </si>
  <si>
    <t>Está claro como a equipe vai checar se o sistema está rápido e funcionando depois que for lançado</t>
  </si>
  <si>
    <t>Todas especificações da caso de uso possuem um gatilho informado?</t>
  </si>
  <si>
    <t>Foram feitas de forma corretas e legível</t>
  </si>
  <si>
    <t>Não há requisitos contraditórios entre si?</t>
  </si>
  <si>
    <t>As metas de tempo existem, mas não há plano de teste ou monitoramento após o lançamento.</t>
  </si>
  <si>
    <t>Nenhuma especificação está com gatilho indicado</t>
  </si>
  <si>
    <t>Médio</t>
  </si>
  <si>
    <t>Não foram identificados requisitos contraditórios entre si.</t>
  </si>
  <si>
    <t>Definir testes de desempenho e acompanhamento pós-implantação.</t>
  </si>
  <si>
    <t xml:space="preserve">O diagrama evita o cruzamento excessivo de linhas de conexão ?
</t>
  </si>
  <si>
    <t>O artefato foi revisado e aprovado pelas partes interessadas relevantes (Arquitetos, P.O., Segurança)</t>
  </si>
  <si>
    <t>O diagrama traça muitas linhas entre cada caso de uso, dificultando minimamente a leitura</t>
  </si>
  <si>
    <t>Não há requisitos redundantes ou duplicados?</t>
  </si>
  <si>
    <t>Consta aprovação geral do projeto, mas não há evidência de revisão por P.O., arquitetura ou segurança.</t>
  </si>
  <si>
    <t>Não conforme</t>
  </si>
  <si>
    <t>Não foram identificados requisitos redundantes ou duplicados.</t>
  </si>
  <si>
    <t>Giancarlo</t>
  </si>
  <si>
    <t>G</t>
  </si>
  <si>
    <t>Registrar revisão e aprovação dos stakeholders relevantes.</t>
  </si>
  <si>
    <t>Cada requisito representa uma necessidade real do sistema proposto?</t>
  </si>
  <si>
    <t>Caso a especificação de caso de uso possua uma pré-condição, ela está bem definida e não ambígua?</t>
  </si>
  <si>
    <t>Todos os requisitos representam necessidades reais do sistema proposto.</t>
  </si>
  <si>
    <t>Os IDs identificado não possuem lacunas ou duplicidades</t>
  </si>
  <si>
    <t>A sequência RQN01 a RQN05 não possui lacunas nem duplicidades.</t>
  </si>
  <si>
    <t>Organizar fluxo,caixas</t>
  </si>
  <si>
    <t>As regras de permissão e acesso descritas são coerentes com os papéis de usuário definidos?</t>
  </si>
  <si>
    <t>Regras de acesso coerentes com os papéis.</t>
  </si>
  <si>
    <t xml:space="preserve">O diagrama mantém uma diagramação limpa com atores primários à esquerda e secundários à direita?
</t>
  </si>
  <si>
    <t>As descrições dos casos de uso são capazes de sintetizar o caso de uso por completo?</t>
  </si>
  <si>
    <t>O documento foi revisado e está livre de erros gramaticais ou de digitação</t>
  </si>
  <si>
    <t>A diagramação se mantém organizada, separando os primarios e secundários de forma correta</t>
  </si>
  <si>
    <t>Cada item descreve um único requisito, sem agregar várias funcionalidades em uma só linha?</t>
  </si>
  <si>
    <t>Em geral um requisito por linha.</t>
  </si>
  <si>
    <t>Há erro de digitação em 'Safar' e inconsistências pontuais de redação e pontuação.</t>
  </si>
  <si>
    <t>Caso existam fluxos alternativos, existe uma identificação (ID) para cada fluxo?</t>
  </si>
  <si>
    <t>Revisar ortografia, gramática e pontuação do artefato.</t>
  </si>
  <si>
    <t xml:space="preserve">Os termos e títulos dos Casos de Uso evitam referências explícitas a elementos de interface de usuário ?
</t>
  </si>
  <si>
    <t>Cada requisito é redigido de forma que seu atendimento possa ser verificado ou testado?</t>
  </si>
  <si>
    <t>Alguns termos ao meu ver particular pareceram ambiguos</t>
  </si>
  <si>
    <t>Requisitos majoritariamente verificáveis/testáveis.</t>
  </si>
  <si>
    <t>Os requisitos exigidos são realistas e possíveis de serem atendidos pela equipe de desenvolvimento?</t>
  </si>
  <si>
    <t>As metas de 3 segundos, 3 cliques e 4 segundos são viáveis como objetivos iniciais do projeto.</t>
  </si>
  <si>
    <t>Caso existam fluxos de exceção, existe uma identificação (ID) para cada um?</t>
  </si>
  <si>
    <t xml:space="preserve">A herança entre Casos de Uso é usada apenas para variações do mesmo objetivo principal?
</t>
  </si>
  <si>
    <t>RESUMO DE ADERÊNCIA</t>
  </si>
  <si>
    <t>Todas as ações do sistema estão indicadas nas "Ações do sistema"?</t>
  </si>
  <si>
    <t xml:space="preserve">Os Atores representam perfis/papeis de acesso do sistema e não cargos ou nomes de pessoas
</t>
  </si>
  <si>
    <t>Todas as ações do ator estão indicadas nas "Ações do ator"?</t>
  </si>
  <si>
    <t>O documento indica claramente quem foi o autor e quem são os aprovadores</t>
  </si>
  <si>
    <t>O histórico cita Grupo 1, mas não identifica claramente autor e aprovadores do artefato de RNFs.</t>
  </si>
  <si>
    <t xml:space="preserve">Os títulos evitam mencionar elementos de tela ?
</t>
  </si>
  <si>
    <t>Todos os identificadores são únicos?</t>
  </si>
  <si>
    <t>Evita</t>
  </si>
  <si>
    <t>Identificar autor, revisores, aprovadores e respectivas datas.</t>
  </si>
  <si>
    <t>As informações do documento são consistentes e os requisitos não entram em conflito entre si</t>
  </si>
  <si>
    <t xml:space="preserve">O diagrama evita simular passagem de parâmetros, variáveis ou chamadas de métodos de programação?
</t>
  </si>
  <si>
    <t>NA</t>
  </si>
  <si>
    <t>Os cinco RNFs são compatíveis entre si e não apresentam conflitos identificáveis.</t>
  </si>
  <si>
    <t>Os identificadores de caso de uso são sequenciais?</t>
  </si>
  <si>
    <t>Quantidade</t>
  </si>
  <si>
    <t>% de aderência</t>
  </si>
  <si>
    <t>O &lt;&lt;include&gt;&gt; é usado apenas para passos funcionais que realmente são reaproveitados 
por dois ou mais Casos de Uso?</t>
  </si>
  <si>
    <t>O artefato segue o template e a formatação padrão definidos para o projeto</t>
  </si>
  <si>
    <t>As ações do ator indicam uma ação clara que ele fará?</t>
  </si>
  <si>
    <t>A lista segue o mesmo padrão de tabela do documento de requisitos funcionais.</t>
  </si>
  <si>
    <t xml:space="preserve">Todos os Requisitos Funcionais (RF) levantados inicialmente possuem ao menos um Caso de Uso correspondente
</t>
  </si>
  <si>
    <t>As ações do sistema indicam uma ação clara que ele fará?</t>
  </si>
  <si>
    <t xml:space="preserve">O ator dentro do sistema é identificado pelo papel que desempenha?
</t>
  </si>
  <si>
    <t>Estão definidos os comportamentos esperados do sistema em caso de indisponibilidade ou falha</t>
  </si>
  <si>
    <t>Cada ator é nomeado com um papel que desempenha</t>
  </si>
  <si>
    <t>Não há definição de comportamento em caso de indisponibilidade, falha ou recuperação do sistema.</t>
  </si>
  <si>
    <t>Caso exista um ator secundário, ele está indicado no cabeçalho da especificação?</t>
  </si>
  <si>
    <t>Definir tratamento de falhas, mensagens ao usuário, recuperação e metas de disponibilidade.</t>
  </si>
  <si>
    <t>Fica claro a qual parte do sistema ou requisito funcional cada RNF está associado</t>
  </si>
  <si>
    <t>Não se aplica</t>
  </si>
  <si>
    <t>Os RNFs não indicam quais requisitos funcionais, telas ou módulos do sistema são impactados.</t>
  </si>
  <si>
    <t>Adicionar rastreabilidade entre cada RNF e os RFs ou módulos relacionados.</t>
  </si>
  <si>
    <t>Caso hajam pós-condições, elas estão indicadas de forma bem definida e não ambígua?</t>
  </si>
  <si>
    <t>O documento possui a data da última modificação e o número da versão atual</t>
  </si>
  <si>
    <t>O documento informa versão 1.0 e data de revisão em seu histórico.</t>
  </si>
  <si>
    <t>O arquivo está salvo no local correto e pode ser acessado por toda a equipe (ex: Drive, repositório)</t>
  </si>
  <si>
    <t>Caso uma das ações indique a execução de outro caso de uso, está indicado de forma direta e não ambígua?</t>
  </si>
  <si>
    <t>O local de armazenamento e as permissões de acesso da equipe não são verificáveis pelo documento enviado.</t>
  </si>
  <si>
    <t>Não aplicável</t>
  </si>
  <si>
    <t>Não considerado</t>
  </si>
  <si>
    <t>Base de cálculo</t>
  </si>
  <si>
    <t>CHECKLIST DE VALIDAÇÃO — DIAGRAMA DE CLASSES</t>
  </si>
  <si>
    <t>Status</t>
  </si>
  <si>
    <t>As classes filhas possuem somente atributos e comportamentos específicos que não deveriam estar na classe Usuário?</t>
  </si>
  <si>
    <t>As classes filhas possuem apenas atributos e métodos específicos, os itens comuns permanecem corretamente em Usuário.</t>
  </si>
  <si>
    <t xml:space="preserve">N/A </t>
  </si>
  <si>
    <t xml:space="preserve"> N/A </t>
  </si>
  <si>
    <t>As multiplicidades de todas as associações estão definidas nos dois extremos quando necessário e representam corretamente as regras de negócio?</t>
  </si>
  <si>
    <t>Todas as multiplicidades estão definidas.</t>
  </si>
  <si>
    <t>As multiplicidades 0..*, 1, 0..1 e 1..* utilizadas no diagrama são coerentes com a quantidade mínima e máxima de objetos relacionados?</t>
  </si>
  <si>
    <t>As multiplicidades utilizadas são coerentes com as regras de negócio identificadas no diagrama.</t>
  </si>
  <si>
    <t>As relações de composição e agregação utilizadas no diagrama representam corretamente a dependência do ciclo de vida entre as classes?</t>
  </si>
  <si>
    <t>A composição entre Projeto e Atividade representa corretamente a dependência de ciclo de vida entre as classes.</t>
  </si>
  <si>
    <t>A composição entre Projeto e Atividade indica corretamente que uma Atividade depende do Projeto ao qual pertence?</t>
  </si>
  <si>
    <t>A composição "contém" entre Projeto e Atividade está correta para essa dependência de ciclo de vida.</t>
  </si>
  <si>
    <t>A relação entre Vaga e Recrutador representa corretamente quem cria, publica ou mantém uma vaga?</t>
  </si>
  <si>
    <t>A associação "posta" indica que o Recrutador publica a vaga, porém a classe Vaga também possui métodos, gerando redundância.</t>
  </si>
  <si>
    <t>Ícaro</t>
  </si>
  <si>
    <t>Deslocar os métodos criarVaga, excluirVaga e editarVaga para a classe Recrutador, mantendo em Vaga apenas os métodos referentes aos seus próprios dados.</t>
  </si>
  <si>
    <t>A relação entre Colaborador e Perfil permite corretamente a quantidade de perfis que um colaborador pode possuir?</t>
  </si>
  <si>
    <t>A multiplicidade Colaborador (1) – Perfil (1..*) permite corretamente que um colaborador possua um ou mais perfis.</t>
  </si>
  <si>
    <t>As associações nomeadas como pesquisa, mantém, possui, realiza, analisa e associa-se descrevem corretamente o significado de cada relacionamento?</t>
  </si>
  <si>
    <t>Os nomes das associações descrevem adequadamente o significado de cada relacionamento representado.</t>
  </si>
  <si>
    <t>As direções das associações e suas setas de navegabilidade estão sendo utilizadas corretamente e de forma consistente?</t>
  </si>
  <si>
    <t>A associação entre Colaborador e Atividade aparece duplicada, com multiplicidades diferentes.</t>
  </si>
  <si>
    <t>Unificar as associações "mantém" e "associa-se" entre Colaborador e Atividade em uma única associação, com nome e multiplicidade definidos.</t>
  </si>
  <si>
    <t>Existe alguma associação no diagrama que poderia ser removida por ser redundante ou representar uma relação já estabelecida por outra associação?</t>
  </si>
  <si>
    <t>As associações "mantém" e "associa-se", entre Colab. e Ativid., representam aparentemente o mesmo relacionamento de domínio.</t>
  </si>
  <si>
    <t>Remover a associação redundante entre Colaborador e Atividade, mantendo apenas uma que represente o relacionamento.</t>
  </si>
  <si>
    <t>Os tipos dos atributos, como date, String e int, são adequados para os dados que representam?</t>
  </si>
  <si>
    <t>Há inconsistência de nomenclatura entre "string" (minúsculo, em Vaga) e "String" (maiúsculo, nas demais classes).</t>
  </si>
  <si>
    <t>Padronizar a grafia do tipo String em todas as classes do diagrama.</t>
  </si>
  <si>
    <t>Os identificadores (id) das classes estão definidos de maneira consistente e adequada para identificar cada objeto?</t>
  </si>
  <si>
    <t>Todas as classes principais possuem atributo "id" definido de forma consistente para identificação de seus objetos.</t>
  </si>
  <si>
    <t>Os métodos estão atribuídos à classe que possui a responsabilidade de executar aquele comportamento?</t>
  </si>
  <si>
    <t>Os métodos estão majoritariamente atribuídos à classe responsável pelo comportamento descrito.</t>
  </si>
  <si>
    <t>Existem métodos no diagrama que poderiam pertencer a outra classe por não estarem relacionados diretamente à responsabilidade da classe atual?</t>
  </si>
  <si>
    <t xml:space="preserve"> O método associarAtividade está definido em Atividade, mas por envolver diretamente o Colaborador poderia estar nessa classe.</t>
  </si>
  <si>
    <t>Avaliar a realocação do método associarAtividade para a classe Colaborador.</t>
  </si>
  <si>
    <t>Os atributos e métodos possuem níveis de visibilidade coerentes com o princípio de encapsulamento?</t>
  </si>
  <si>
    <t>Todos os atributos estão definidos como privados e todos os métodos como públicos, coerente com o encapsulamento.</t>
  </si>
  <si>
    <t>As operações relacionadas a alterações de dados possuem acesso controlado de acordo com as responsabilidades de cada tipo de usuário?</t>
  </si>
  <si>
    <t>As operações de alteração de dados estão coerentes com as responsabilidades de cada tipo de usuário.</t>
  </si>
  <si>
    <t>As regras relacionadas aos diferentes status de Denúncia, Projeto e Atividade estão representadas de maneira consistente no modelo?</t>
  </si>
  <si>
    <t>As regras de status de Denúncia, Projeto e Atividade estão representadas de forma consistente no modelo.</t>
  </si>
  <si>
    <t>As classes possuem somente informações necessárias, evitando atributos duplicados ou informações que poderiam ser obtidas outros relacionamentos?</t>
  </si>
  <si>
    <t>Não foram identificados atributos duplicados entre as classes do diagrama.</t>
  </si>
  <si>
    <t>Todas as classes presentes no diagrama possuem pelo menos uma responsabilidade ou relacionamento relevante no domínio do sistema?</t>
  </si>
  <si>
    <t>Todas as classes possuem atributos, métodos e ao menos um relacionamento relevante para o domínio.</t>
  </si>
  <si>
    <t>É possível compreender as regras de negócio principais do sistema apenas observando as classes, seus atributos, métodos e relacionamentos?</t>
  </si>
  <si>
    <t>É possível compreender as regras de negócio principais do sistema observando as classes, atributos, métodos e relacionamentos.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</si>
</sst>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0.0%"/>
  </numFmts>
  <fonts count="15">
    <font>
      <sz val="10.0"/>
      <color rgb="FF000000"/>
      <name val="Arial"/>
      <scheme val="minor"/>
    </font>
    <font>
      <b/>
      <sz val="16.0"/>
      <color rgb="FFFFFFFF"/>
      <name val="Arial"/>
    </font>
    <font>
      <i/>
      <sz val="11.0"/>
      <color rgb="FF4F5B66"/>
      <name val="Aptos"/>
    </font>
    <font>
      <sz val="11.0"/>
      <color rgb="FF000000"/>
      <name val="Aptos"/>
    </font>
    <font>
      <b/>
      <sz val="11.0"/>
      <color rgb="FFFFFFFF"/>
      <name val="Aptos"/>
    </font>
    <font>
      <color theme="1"/>
      <name val="Arial"/>
    </font>
    <font>
      <b/>
      <sz val="11.0"/>
      <color rgb="FFFFFFFF"/>
      <name val="Arial"/>
    </font>
    <font>
      <color theme="1"/>
      <name val="Arial"/>
      <scheme val="minor"/>
    </font>
    <font>
      <sz val="11.0"/>
      <color rgb="FF000000"/>
      <name val="Arial"/>
    </font>
    <font>
      <sz val="11.0"/>
      <color theme="1"/>
      <name val="Aptos"/>
    </font>
    <font>
      <sz val="11.0"/>
      <color theme="1"/>
      <name val="Arial"/>
    </font>
    <font>
      <b/>
      <sz val="12.0"/>
      <color rgb="FFFFFFFF"/>
      <name val="Arial"/>
    </font>
    <font>
      <b/>
      <color rgb="FFFFFFFF"/>
      <name val="Arial"/>
    </font>
    <font>
      <b/>
      <color theme="1"/>
      <name val="Arial"/>
    </font>
    <font>
      <sz val="11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2F75B5"/>
        <bgColor rgb="FF2F75B5"/>
      </patternFill>
    </fill>
    <fill>
      <patternFill patternType="solid">
        <fgColor rgb="FFF7F9FC"/>
        <bgColor rgb="FFF7F9FC"/>
      </patternFill>
    </fill>
  </fills>
  <borders count="3">
    <border/>
    <border>
      <left style="thin">
        <color rgb="FFB8C4D1"/>
      </left>
      <right style="thin">
        <color rgb="FFB8C4D1"/>
      </right>
      <top style="thin">
        <color rgb="FFB8C4D1"/>
      </top>
      <bottom style="thin">
        <color rgb="FFB8C4D1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1" numFmtId="0" xfId="0" applyAlignment="1" applyFill="1" applyFont="1">
      <alignment horizontal="center" readingOrder="0" vertical="bottom"/>
    </xf>
    <xf borderId="1" fillId="3" fontId="4" numFmtId="0" xfId="0" applyAlignment="1" applyBorder="1" applyFill="1" applyFont="1">
      <alignment horizontal="center" readingOrder="0" shrinkToFit="0" wrapText="0"/>
    </xf>
    <xf borderId="0" fillId="0" fontId="5" numFmtId="0" xfId="0" applyAlignment="1" applyFont="1">
      <alignment vertical="bottom"/>
    </xf>
    <xf borderId="1" fillId="3" fontId="6" numFmtId="0" xfId="0" applyAlignment="1" applyBorder="1" applyFill="1" applyFont="1">
      <alignment horizontal="center" readingOrder="0" shrinkToFit="0" wrapText="0"/>
    </xf>
    <xf borderId="0" fillId="0" fontId="7" numFmtId="0" xfId="0" applyAlignment="1" applyFont="1">
      <alignment horizontal="center" vertical="center"/>
    </xf>
    <xf borderId="1" fillId="4" fontId="3" numFmtId="0" xfId="0" applyAlignment="1" applyBorder="1" applyFill="1" applyFont="1">
      <alignment horizontal="center" readingOrder="0" shrinkToFit="0" wrapText="0"/>
    </xf>
    <xf borderId="1" fillId="3" fontId="4" numFmtId="0" xfId="0" applyAlignment="1" applyBorder="1" applyFill="1" applyFont="1">
      <alignment horizontal="center" vertical="bottom"/>
    </xf>
    <xf borderId="0" fillId="0" fontId="2" numFmtId="0" xfId="0" applyAlignment="1" applyFont="1">
      <alignment horizontal="center" shrinkToFit="0" vertical="center" wrapText="0"/>
    </xf>
    <xf borderId="1" fillId="3" fontId="6" numFmtId="0" xfId="0" applyAlignment="1" applyBorder="1" applyFill="1" applyFont="1">
      <alignment horizontal="center" vertical="bottom"/>
    </xf>
    <xf borderId="0" fillId="0" fontId="3" numFmtId="0" xfId="0" applyAlignment="1" applyFont="1">
      <alignment horizontal="center" shrinkToFit="0" vertical="center" wrapText="0"/>
    </xf>
    <xf borderId="1" fillId="4" fontId="8" numFmtId="0" xfId="0" applyAlignment="1" applyBorder="1" applyFill="1" applyFont="1">
      <alignment readingOrder="0"/>
    </xf>
    <xf borderId="1" fillId="3" fontId="4" numFmtId="0" xfId="0" applyAlignment="1" applyBorder="1" applyFill="1" applyFont="1">
      <alignment horizontal="center" readingOrder="0" shrinkToFit="0" vertical="center" wrapText="0"/>
    </xf>
    <xf borderId="1" fillId="4" fontId="9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vertical="center" wrapText="0"/>
    </xf>
    <xf borderId="1" fillId="4" fontId="3" numFmtId="0" xfId="0" applyAlignment="1" applyBorder="1" applyFill="1" applyFont="1">
      <alignment readingOrder="0"/>
    </xf>
    <xf borderId="1" fillId="4" fontId="10" numFmtId="0" xfId="0" applyAlignment="1" applyBorder="1" applyFill="1" applyFont="1">
      <alignment shrinkToFit="0" wrapText="1"/>
    </xf>
    <xf borderId="1" fillId="4" fontId="9" numFmtId="0" xfId="0" applyAlignment="1" applyBorder="1" applyFill="1" applyFont="1">
      <alignment shrinkToFit="0" wrapText="1"/>
    </xf>
    <xf borderId="1" fillId="4" fontId="3" numFmtId="0" xfId="0" applyBorder="1" applyFill="1" applyFont="1"/>
    <xf borderId="1" fillId="3" fontId="6" numFmtId="0" xfId="0" applyAlignment="1" applyBorder="1" applyFill="1" applyFont="1">
      <alignment horizontal="center" vertical="center"/>
    </xf>
    <xf borderId="1" fillId="4" fontId="5" numFmtId="0" xfId="0" applyBorder="1" applyFill="1" applyFont="1"/>
    <xf borderId="1" fillId="4" fontId="3" numFmtId="0" xfId="0" applyAlignment="1" applyBorder="1" applyFill="1" applyFont="1">
      <alignment horizontal="center" readingOrder="0" shrinkToFit="0" vertical="center" wrapText="0"/>
    </xf>
    <xf borderId="1" fillId="4" fontId="8" numFmtId="0" xfId="0" applyAlignment="1" applyBorder="1" applyFill="1" applyFont="1">
      <alignment horizontal="center" readingOrder="0" vertical="center"/>
    </xf>
    <xf borderId="1" fillId="4" fontId="8" numFmtId="0" xfId="0" applyAlignment="1" applyBorder="1" applyFill="1" applyFont="1">
      <alignment horizontal="center" readingOrder="0" shrinkToFit="0" vertical="center" wrapText="1"/>
    </xf>
    <xf borderId="1" fillId="4" fontId="3" numFmtId="0" xfId="0" applyAlignment="1" applyBorder="1" applyFill="1" applyFont="1">
      <alignment horizontal="center" vertical="center"/>
    </xf>
    <xf borderId="1" fillId="4" fontId="10" numFmtId="0" xfId="0" applyAlignment="1" applyBorder="1" applyFill="1" applyFont="1">
      <alignment readingOrder="0" shrinkToFit="0" wrapText="1"/>
    </xf>
    <xf borderId="1" fillId="4" fontId="8" numFmtId="0" xfId="0" applyAlignment="1" applyBorder="1" applyFill="1" applyFont="1">
      <alignment horizontal="center" readingOrder="0" shrinkToFit="0" wrapText="0"/>
    </xf>
    <xf borderId="1" fillId="4" fontId="8" numFmtId="0" xfId="0" applyAlignment="1" applyBorder="1" applyFill="1" applyFont="1">
      <alignment horizontal="center" readingOrder="0" shrinkToFit="0" vertical="center" wrapText="0"/>
    </xf>
    <xf borderId="0" fillId="4" fontId="10" numFmtId="0" xfId="0" applyAlignment="1" applyFill="1" applyFont="1">
      <alignment horizontal="center" vertical="bottom"/>
    </xf>
    <xf borderId="0" fillId="4" fontId="10" numFmtId="0" xfId="0" applyAlignment="1" applyFill="1" applyFont="1">
      <alignment shrinkToFit="0" wrapText="1"/>
    </xf>
    <xf borderId="0" fillId="4" fontId="9" numFmtId="0" xfId="0" applyAlignment="1" applyFill="1" applyFont="1">
      <alignment shrinkToFit="0" wrapText="1"/>
    </xf>
    <xf borderId="0" fillId="4" fontId="5" numFmtId="0" xfId="0" applyFill="1" applyFont="1"/>
    <xf borderId="0" fillId="4" fontId="8" numFmtId="0" xfId="0" applyAlignment="1" applyFill="1" applyFont="1">
      <alignment horizontal="center" readingOrder="0" shrinkToFit="0" wrapText="0"/>
    </xf>
    <xf borderId="0" fillId="4" fontId="10" numFmtId="0" xfId="0" applyAlignment="1" applyFill="1" applyFont="1">
      <alignment readingOrder="0" shrinkToFit="0" wrapText="1"/>
    </xf>
    <xf borderId="1" fillId="4" fontId="8" numFmtId="0" xfId="0" applyAlignment="1" applyBorder="1" applyFill="1" applyFont="1">
      <alignment horizontal="center" readingOrder="0" shrinkToFit="0" vertical="center" wrapText="0"/>
    </xf>
    <xf borderId="0" fillId="4" fontId="8" numFmtId="0" xfId="0" applyAlignment="1" applyFill="1" applyFont="1">
      <alignment readingOrder="0"/>
    </xf>
    <xf borderId="0" fillId="4" fontId="3" numFmtId="0" xfId="0" applyFill="1" applyFont="1"/>
    <xf borderId="0" fillId="4" fontId="8" numFmtId="164" xfId="0" applyAlignment="1" applyFill="1" applyFont="1" applyNumberFormat="1">
      <alignment readingOrder="0"/>
    </xf>
    <xf borderId="1" fillId="4" fontId="8" numFmtId="164" xfId="0" applyAlignment="1" applyBorder="1" applyFill="1" applyFont="1" applyNumberFormat="1">
      <alignment horizontal="center" readingOrder="0" vertical="center"/>
    </xf>
    <xf borderId="1" fillId="4" fontId="3" numFmtId="0" xfId="0" applyAlignment="1" applyBorder="1" applyFill="1" applyFont="1">
      <alignment horizontal="center" shrinkToFit="0" vertical="center" wrapText="1"/>
    </xf>
    <xf borderId="0" fillId="2" fontId="11" numFmtId="0" xfId="0" applyAlignment="1" applyFill="1" applyFont="1">
      <alignment horizontal="center"/>
    </xf>
    <xf borderId="1" fillId="3" fontId="12" numFmtId="0" xfId="0" applyAlignment="1" applyBorder="1" applyFill="1" applyFont="1">
      <alignment horizontal="center"/>
    </xf>
    <xf borderId="2" fillId="4" fontId="5" numFmtId="0" xfId="0" applyBorder="1" applyFill="1" applyFont="1"/>
    <xf borderId="2" fillId="4" fontId="5" numFmtId="0" xfId="0" applyAlignment="1" applyBorder="1" applyFill="1" applyFont="1">
      <alignment horizontal="right"/>
    </xf>
    <xf borderId="2" fillId="4" fontId="5" numFmtId="165" xfId="0" applyAlignment="1" applyBorder="1" applyFill="1" applyFont="1" applyNumberFormat="1">
      <alignment horizontal="right"/>
    </xf>
    <xf borderId="2" fillId="4" fontId="5" numFmtId="0" xfId="0" applyAlignment="1" applyBorder="1" applyFill="1" applyFont="1">
      <alignment readingOrder="0"/>
    </xf>
    <xf borderId="2" fillId="4" fontId="13" numFmtId="0" xfId="0" applyBorder="1" applyFill="1" applyFont="1"/>
    <xf borderId="2" fillId="4" fontId="13" numFmtId="0" xfId="0" applyAlignment="1" applyBorder="1" applyFill="1" applyFont="1">
      <alignment horizontal="right"/>
    </xf>
    <xf borderId="2" fillId="4" fontId="13" numFmtId="165" xfId="0" applyAlignment="1" applyBorder="1" applyFill="1" applyFont="1" applyNumberFormat="1">
      <alignment horizontal="right"/>
    </xf>
    <xf borderId="0" fillId="2" fontId="1" numFmtId="0" xfId="0" applyAlignment="1" applyFill="1" applyFont="1">
      <alignment horizontal="center" readingOrder="0" vertical="center"/>
    </xf>
    <xf borderId="0" fillId="0" fontId="5" numFmtId="0" xfId="0" applyAlignment="1" applyFont="1">
      <alignment vertical="center"/>
    </xf>
    <xf borderId="1" fillId="3" fontId="4" numFmtId="0" xfId="0" applyAlignment="1" applyBorder="1" applyFill="1" applyFont="1">
      <alignment horizontal="center" vertical="center"/>
    </xf>
    <xf borderId="1" fillId="3" fontId="6" numFmtId="0" xfId="0" applyAlignment="1" applyBorder="1" applyFill="1" applyFont="1">
      <alignment horizontal="center" readingOrder="0" vertical="center"/>
    </xf>
    <xf borderId="1" fillId="4" fontId="10" numFmtId="0" xfId="0" applyAlignment="1" applyBorder="1" applyFill="1" applyFont="1">
      <alignment horizontal="center" readingOrder="0" vertical="center"/>
    </xf>
    <xf borderId="1" fillId="4" fontId="10" numFmtId="0" xfId="0" applyAlignment="1" applyBorder="1" applyFill="1" applyFont="1">
      <alignment vertical="center"/>
    </xf>
    <xf borderId="1" fillId="4" fontId="5" numFmtId="0" xfId="0" applyAlignment="1" applyBorder="1" applyFill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1" fillId="4" fontId="5" numFmtId="164" xfId="0" applyAlignment="1" applyBorder="1" applyFill="1" applyFont="1" applyNumberFormat="1">
      <alignment horizontal="center" readingOrder="0" vertical="center"/>
    </xf>
    <xf borderId="1" fillId="4" fontId="5" numFmtId="0" xfId="0" applyAlignment="1" applyBorder="1" applyFill="1" applyFont="1">
      <alignment horizontal="center" vertical="center"/>
    </xf>
    <xf borderId="1" fillId="4" fontId="5" numFmtId="0" xfId="0" applyAlignment="1" applyBorder="1" applyFill="1" applyFont="1">
      <alignment horizontal="left" readingOrder="0" shrinkToFit="0" vertical="center" wrapText="1"/>
    </xf>
    <xf borderId="0" fillId="0" fontId="7" numFmtId="0" xfId="0" applyAlignment="1" applyFont="1">
      <alignment vertical="center"/>
    </xf>
    <xf borderId="1" fillId="4" fontId="5" numFmtId="0" xfId="0" applyAlignment="1" applyBorder="1" applyFill="1" applyFont="1">
      <alignment horizontal="center" readingOrder="0" shrinkToFit="0" vertical="center" wrapText="1"/>
    </xf>
    <xf borderId="1" fillId="4" fontId="5" numFmtId="0" xfId="0" applyAlignment="1" applyBorder="1" applyFill="1" applyFont="1">
      <alignment readingOrder="0" shrinkToFit="0" vertical="center" wrapText="1"/>
    </xf>
    <xf borderId="0" fillId="0" fontId="10" numFmtId="0" xfId="0" applyAlignment="1" applyFont="1">
      <alignment horizontal="center" readingOrder="0" vertical="center"/>
    </xf>
    <xf borderId="0" fillId="0" fontId="10" numFmtId="0" xfId="0" applyAlignment="1" applyFont="1">
      <alignment vertical="center"/>
    </xf>
    <xf borderId="0" fillId="0" fontId="5" numFmtId="0" xfId="0" applyAlignment="1" applyFont="1">
      <alignment horizontal="center" readingOrder="0" vertical="center"/>
    </xf>
    <xf borderId="0" fillId="0" fontId="5" numFmtId="164" xfId="0" applyAlignment="1" applyFont="1" applyNumberForma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readingOrder="0" shrinkToFit="0" vertical="center" wrapText="1"/>
    </xf>
    <xf borderId="0" fillId="0" fontId="10" numFmtId="0" xfId="0" applyAlignment="1" applyFont="1">
      <alignment readingOrder="0" vertical="center"/>
    </xf>
    <xf borderId="0" fillId="0" fontId="5" numFmtId="0" xfId="0" applyAlignment="1" applyFont="1">
      <alignment vertical="center"/>
    </xf>
    <xf borderId="0" fillId="0" fontId="5" numFmtId="0" xfId="0" applyAlignment="1" applyFont="1">
      <alignment vertical="bottom"/>
    </xf>
    <xf borderId="0" fillId="0" fontId="14" numFmtId="0" xfId="0" applyAlignment="1" applyFont="1">
      <alignment horizontal="center" readingOrder="0"/>
    </xf>
    <xf borderId="0" fillId="0" fontId="1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88.38"/>
    <col customWidth="1" min="4" max="4" width="55.5"/>
    <col customWidth="1" min="9" max="9" width="21.63"/>
  </cols>
  <sheetData>
    <row r="1">
      <c r="A1" s="4" t="s">
        <v>0</v>
      </c>
      <c r="I1" s="9"/>
    </row>
    <row r="2">
      <c r="A2" s="12"/>
      <c r="E2" s="9"/>
      <c r="F2" s="9"/>
      <c r="G2" s="9"/>
      <c r="H2" s="9"/>
      <c r="I2" s="9"/>
    </row>
    <row r="3">
      <c r="A3" s="14"/>
      <c r="B3" s="14"/>
      <c r="C3" s="14"/>
      <c r="D3" s="14"/>
      <c r="E3" s="9"/>
      <c r="F3" s="9"/>
      <c r="G3" s="9"/>
      <c r="H3" s="9"/>
      <c r="I3" s="9"/>
    </row>
    <row r="4">
      <c r="A4" s="16" t="s">
        <v>4</v>
      </c>
      <c r="B4" s="16" t="s">
        <v>5</v>
      </c>
      <c r="C4" s="18" t="s">
        <v>6</v>
      </c>
      <c r="D4" s="18" t="s">
        <v>8</v>
      </c>
      <c r="E4" s="18" t="s">
        <v>9</v>
      </c>
      <c r="F4" s="18" t="s">
        <v>10</v>
      </c>
      <c r="G4" s="18" t="s">
        <v>12</v>
      </c>
      <c r="H4" s="18" t="s">
        <v>14</v>
      </c>
      <c r="I4" s="23" t="s">
        <v>17</v>
      </c>
    </row>
    <row r="5">
      <c r="A5" s="25">
        <v>1.0</v>
      </c>
      <c r="B5" s="26" t="s">
        <v>32</v>
      </c>
      <c r="C5" s="26" t="s">
        <v>22</v>
      </c>
      <c r="D5" s="27" t="s">
        <v>36</v>
      </c>
      <c r="E5" s="26" t="s">
        <v>41</v>
      </c>
      <c r="F5" s="28"/>
      <c r="G5" s="9"/>
      <c r="H5" s="26"/>
      <c r="I5" s="26"/>
    </row>
    <row r="6">
      <c r="A6" s="25">
        <v>2.0</v>
      </c>
      <c r="B6" s="26" t="s">
        <v>45</v>
      </c>
      <c r="C6" s="26" t="s">
        <v>22</v>
      </c>
      <c r="D6" s="27" t="s">
        <v>47</v>
      </c>
      <c r="E6" s="26" t="s">
        <v>48</v>
      </c>
      <c r="F6" s="28"/>
      <c r="G6" s="28"/>
      <c r="H6" s="26"/>
      <c r="I6" s="26"/>
    </row>
    <row r="7">
      <c r="A7" s="25">
        <v>3.0</v>
      </c>
      <c r="B7" s="26" t="s">
        <v>54</v>
      </c>
      <c r="C7" s="26" t="s">
        <v>22</v>
      </c>
      <c r="D7" s="27" t="s">
        <v>55</v>
      </c>
      <c r="E7" s="26" t="s">
        <v>48</v>
      </c>
      <c r="F7" s="28"/>
      <c r="G7" s="28"/>
      <c r="H7" s="26"/>
      <c r="I7" s="26"/>
    </row>
    <row r="8">
      <c r="A8" s="25">
        <v>4.0</v>
      </c>
      <c r="B8" s="26" t="s">
        <v>60</v>
      </c>
      <c r="C8" s="26" t="s">
        <v>22</v>
      </c>
      <c r="D8" s="27" t="s">
        <v>63</v>
      </c>
      <c r="E8" s="26" t="s">
        <v>64</v>
      </c>
      <c r="F8" s="28"/>
      <c r="G8" s="28"/>
      <c r="H8" s="26"/>
      <c r="I8" s="26"/>
    </row>
    <row r="9">
      <c r="A9" s="25">
        <v>5.0</v>
      </c>
      <c r="B9" s="26" t="s">
        <v>70</v>
      </c>
      <c r="C9" s="26" t="s">
        <v>22</v>
      </c>
      <c r="D9" s="27" t="s">
        <v>72</v>
      </c>
      <c r="E9" s="26" t="s">
        <v>64</v>
      </c>
      <c r="F9" s="28"/>
      <c r="G9" s="28"/>
      <c r="H9" s="26"/>
      <c r="I9" s="26"/>
    </row>
    <row r="10">
      <c r="A10" s="31">
        <v>6.0</v>
      </c>
      <c r="B10" s="26" t="s">
        <v>82</v>
      </c>
      <c r="C10" s="26" t="s">
        <v>22</v>
      </c>
      <c r="D10" s="27" t="s">
        <v>83</v>
      </c>
      <c r="E10" s="26" t="s">
        <v>64</v>
      </c>
      <c r="F10" s="28"/>
      <c r="G10" s="28"/>
      <c r="H10" s="26"/>
      <c r="I10" s="26"/>
    </row>
    <row r="11">
      <c r="A11" s="31">
        <v>7.0</v>
      </c>
      <c r="B11" s="26" t="s">
        <v>87</v>
      </c>
      <c r="C11" s="26" t="s">
        <v>22</v>
      </c>
      <c r="D11" s="26" t="s">
        <v>89</v>
      </c>
      <c r="E11" s="26" t="s">
        <v>64</v>
      </c>
      <c r="F11" s="28"/>
      <c r="G11" s="28"/>
      <c r="H11" s="26"/>
      <c r="I11" s="26"/>
    </row>
    <row r="12">
      <c r="A12" s="31">
        <v>8.0</v>
      </c>
      <c r="B12" s="26" t="s">
        <v>93</v>
      </c>
      <c r="C12" s="26" t="s">
        <v>22</v>
      </c>
      <c r="D12" s="26" t="s">
        <v>89</v>
      </c>
      <c r="E12" s="26" t="s">
        <v>64</v>
      </c>
      <c r="F12" s="28"/>
      <c r="G12" s="28"/>
      <c r="H12" s="26"/>
      <c r="I12" s="26"/>
    </row>
    <row r="13">
      <c r="A13" s="31">
        <v>9.0</v>
      </c>
      <c r="B13" s="38" t="s">
        <v>97</v>
      </c>
      <c r="C13" s="26" t="s">
        <v>38</v>
      </c>
      <c r="D13" s="27" t="s">
        <v>104</v>
      </c>
      <c r="E13" s="26" t="s">
        <v>105</v>
      </c>
      <c r="F13" s="26" t="s">
        <v>107</v>
      </c>
      <c r="G13" s="26" t="s">
        <v>42</v>
      </c>
      <c r="H13" s="26" t="s">
        <v>111</v>
      </c>
      <c r="I13" s="26" t="s">
        <v>113</v>
      </c>
    </row>
    <row r="14">
      <c r="A14" s="31">
        <v>10.0</v>
      </c>
      <c r="B14" s="26" t="s">
        <v>116</v>
      </c>
      <c r="C14" s="26" t="s">
        <v>22</v>
      </c>
      <c r="D14" s="26" t="s">
        <v>120</v>
      </c>
      <c r="E14" s="26" t="s">
        <v>105</v>
      </c>
      <c r="F14" s="28"/>
      <c r="G14" s="28"/>
      <c r="H14" s="26"/>
      <c r="I14" s="26"/>
    </row>
    <row r="15">
      <c r="A15" s="31">
        <v>11.0</v>
      </c>
      <c r="B15" s="26" t="s">
        <v>127</v>
      </c>
      <c r="C15" s="26" t="s">
        <v>38</v>
      </c>
      <c r="D15" s="27" t="s">
        <v>129</v>
      </c>
      <c r="E15" s="26" t="s">
        <v>48</v>
      </c>
      <c r="F15" s="42">
        <v>46274.0</v>
      </c>
      <c r="G15" s="26" t="s">
        <v>42</v>
      </c>
      <c r="H15" s="26" t="s">
        <v>111</v>
      </c>
      <c r="I15" s="26" t="s">
        <v>142</v>
      </c>
    </row>
    <row r="16">
      <c r="A16" s="31">
        <v>12.0</v>
      </c>
      <c r="B16" s="26" t="s">
        <v>145</v>
      </c>
      <c r="C16" s="26" t="s">
        <v>22</v>
      </c>
      <c r="D16" s="27" t="s">
        <v>148</v>
      </c>
      <c r="E16" s="26" t="s">
        <v>105</v>
      </c>
      <c r="F16" s="28"/>
      <c r="G16" s="28"/>
      <c r="H16" s="26"/>
      <c r="I16" s="26"/>
    </row>
    <row r="17">
      <c r="A17" s="31">
        <v>13.0</v>
      </c>
      <c r="B17" s="26" t="s">
        <v>154</v>
      </c>
      <c r="C17" s="26" t="s">
        <v>38</v>
      </c>
      <c r="D17" s="27" t="s">
        <v>156</v>
      </c>
      <c r="E17" s="26" t="s">
        <v>48</v>
      </c>
      <c r="F17" s="42">
        <v>46274.0</v>
      </c>
      <c r="G17" s="26" t="s">
        <v>42</v>
      </c>
      <c r="H17" s="26" t="s">
        <v>111</v>
      </c>
      <c r="I17" s="26"/>
    </row>
    <row r="18">
      <c r="A18" s="31">
        <v>14.0</v>
      </c>
      <c r="B18" s="26" t="s">
        <v>161</v>
      </c>
      <c r="C18" s="26" t="s">
        <v>22</v>
      </c>
      <c r="D18" s="43"/>
      <c r="E18" s="26" t="s">
        <v>48</v>
      </c>
      <c r="F18" s="28"/>
      <c r="G18" s="28"/>
      <c r="H18" s="26"/>
      <c r="I18" s="26"/>
    </row>
    <row r="19">
      <c r="A19" s="31">
        <v>15.0</v>
      </c>
      <c r="B19" s="26" t="s">
        <v>164</v>
      </c>
      <c r="C19" s="26" t="s">
        <v>22</v>
      </c>
      <c r="D19" s="43"/>
      <c r="E19" s="26" t="s">
        <v>64</v>
      </c>
      <c r="F19" s="28"/>
      <c r="G19" s="28"/>
      <c r="H19" s="26"/>
      <c r="I19" s="26"/>
    </row>
    <row r="20">
      <c r="A20" s="31">
        <v>16.0</v>
      </c>
      <c r="B20" s="26" t="s">
        <v>168</v>
      </c>
      <c r="C20" s="26" t="s">
        <v>22</v>
      </c>
      <c r="D20" s="27" t="s">
        <v>170</v>
      </c>
      <c r="E20" s="26" t="s">
        <v>48</v>
      </c>
      <c r="F20" s="28"/>
      <c r="G20" s="28"/>
      <c r="H20" s="26"/>
      <c r="I20" s="26"/>
    </row>
    <row r="21">
      <c r="A21" s="31">
        <v>17.0</v>
      </c>
      <c r="B21" s="26" t="s">
        <v>173</v>
      </c>
      <c r="C21" s="26" t="s">
        <v>174</v>
      </c>
      <c r="D21" s="43"/>
      <c r="E21" s="26" t="s">
        <v>48</v>
      </c>
      <c r="F21" s="28"/>
      <c r="G21" s="28"/>
      <c r="H21" s="26"/>
      <c r="I21" s="26"/>
    </row>
    <row r="22">
      <c r="A22" s="31">
        <v>18.0</v>
      </c>
      <c r="B22" s="26" t="s">
        <v>179</v>
      </c>
      <c r="C22" s="26" t="s">
        <v>22</v>
      </c>
      <c r="D22" s="43"/>
      <c r="E22" s="26" t="s">
        <v>64</v>
      </c>
      <c r="F22" s="28"/>
      <c r="G22" s="28"/>
      <c r="H22" s="26"/>
      <c r="I22" s="26"/>
    </row>
    <row r="23">
      <c r="A23" s="31">
        <v>19.0</v>
      </c>
      <c r="B23" s="26" t="s">
        <v>183</v>
      </c>
      <c r="C23" s="26" t="s">
        <v>22</v>
      </c>
      <c r="D23" s="43"/>
      <c r="E23" s="26" t="s">
        <v>64</v>
      </c>
      <c r="F23" s="28"/>
      <c r="G23" s="28"/>
      <c r="H23" s="26"/>
      <c r="I23" s="26"/>
    </row>
    <row r="24">
      <c r="A24" s="31">
        <v>20.0</v>
      </c>
      <c r="B24" s="26" t="s">
        <v>185</v>
      </c>
      <c r="C24" s="26" t="s">
        <v>22</v>
      </c>
      <c r="D24" s="27" t="s">
        <v>187</v>
      </c>
      <c r="E24" s="26" t="s">
        <v>64</v>
      </c>
      <c r="F24" s="28"/>
      <c r="G24" s="28"/>
      <c r="H24" s="26"/>
      <c r="I24" s="26"/>
    </row>
    <row r="25">
      <c r="A25" s="30"/>
      <c r="B25" s="15"/>
      <c r="C25" s="15"/>
      <c r="D25" s="22"/>
      <c r="E25" s="15"/>
    </row>
    <row r="27">
      <c r="D27" s="44" t="s">
        <v>162</v>
      </c>
    </row>
    <row r="28">
      <c r="D28" s="45" t="s">
        <v>11</v>
      </c>
      <c r="E28" s="45" t="s">
        <v>177</v>
      </c>
      <c r="F28" s="45" t="s">
        <v>178</v>
      </c>
    </row>
    <row r="29">
      <c r="D29" s="46" t="s">
        <v>25</v>
      </c>
      <c r="E29" s="47">
        <f>COUNTIF($C$5:$C$24,"C")</f>
        <v>16</v>
      </c>
      <c r="F29" s="48">
        <f>E29/E32</f>
        <v>0.8421052632</v>
      </c>
    </row>
    <row r="30">
      <c r="D30" s="46" t="s">
        <v>132</v>
      </c>
      <c r="E30" s="47">
        <f>COUNTIF($C$5:$C$24,"NC")</f>
        <v>3</v>
      </c>
      <c r="F30" s="48">
        <f>E30/E32</f>
        <v>0.1578947368</v>
      </c>
    </row>
    <row r="31">
      <c r="D31" s="46" t="s">
        <v>201</v>
      </c>
      <c r="E31" s="47">
        <f>COUNTIF($C$5:$C$24,"NA")</f>
        <v>1</v>
      </c>
      <c r="F31" s="49" t="s">
        <v>202</v>
      </c>
    </row>
    <row r="32">
      <c r="D32" s="50" t="s">
        <v>203</v>
      </c>
      <c r="E32" s="51">
        <f>E29+E30</f>
        <v>19</v>
      </c>
      <c r="F32" s="52">
        <f>SUM(F29:F30)</f>
        <v>1</v>
      </c>
    </row>
  </sheetData>
  <autoFilter ref="$A$4:$H$25"/>
  <mergeCells count="3">
    <mergeCell ref="A1:H1"/>
    <mergeCell ref="A2:D2"/>
    <mergeCell ref="D27:F2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3.13"/>
    <col customWidth="1" min="4" max="4" width="115.5"/>
    <col customWidth="1" min="5" max="5" width="19.0"/>
    <col customWidth="1" min="7" max="7" width="16.0"/>
    <col customWidth="1" min="9" max="9" width="74.0"/>
  </cols>
  <sheetData>
    <row r="1">
      <c r="A1" s="1" t="s">
        <v>2</v>
      </c>
    </row>
    <row r="2">
      <c r="A2" s="2"/>
    </row>
    <row r="3">
      <c r="A3" s="3"/>
      <c r="B3" s="3"/>
      <c r="C3" s="3"/>
      <c r="D3" s="3"/>
    </row>
    <row r="4">
      <c r="A4" s="6" t="s">
        <v>4</v>
      </c>
      <c r="B4" s="8" t="s">
        <v>7</v>
      </c>
      <c r="C4" s="8" t="s">
        <v>11</v>
      </c>
      <c r="D4" s="8" t="s">
        <v>13</v>
      </c>
      <c r="E4" s="8"/>
      <c r="F4" s="8" t="s">
        <v>15</v>
      </c>
      <c r="G4" s="8" t="s">
        <v>16</v>
      </c>
      <c r="H4" s="8" t="s">
        <v>14</v>
      </c>
      <c r="I4" s="8" t="s">
        <v>17</v>
      </c>
    </row>
    <row r="5">
      <c r="A5" s="10">
        <v>1.0</v>
      </c>
      <c r="B5" s="15" t="s">
        <v>18</v>
      </c>
      <c r="C5" s="19" t="s">
        <v>22</v>
      </c>
      <c r="D5" s="19" t="s">
        <v>23</v>
      </c>
      <c r="E5" s="22"/>
      <c r="F5" s="22"/>
      <c r="G5" s="22"/>
      <c r="H5" s="22"/>
      <c r="I5" s="22"/>
    </row>
    <row r="6">
      <c r="A6" s="10">
        <v>2.0</v>
      </c>
      <c r="B6" s="15" t="s">
        <v>26</v>
      </c>
      <c r="C6" s="19" t="s">
        <v>22</v>
      </c>
      <c r="D6" s="19" t="s">
        <v>27</v>
      </c>
      <c r="E6" s="22"/>
      <c r="F6" s="22"/>
      <c r="G6" s="22"/>
      <c r="H6" s="22"/>
      <c r="I6" s="22"/>
    </row>
    <row r="7">
      <c r="A7" s="10">
        <v>3.0</v>
      </c>
      <c r="B7" s="15" t="s">
        <v>29</v>
      </c>
      <c r="C7" s="19" t="s">
        <v>22</v>
      </c>
      <c r="D7" s="19" t="s">
        <v>30</v>
      </c>
      <c r="E7" s="22"/>
      <c r="F7" s="22"/>
      <c r="G7" s="22"/>
      <c r="H7" s="22"/>
      <c r="I7" s="22"/>
    </row>
    <row r="8">
      <c r="A8" s="10">
        <v>4.0</v>
      </c>
      <c r="B8" s="15" t="s">
        <v>31</v>
      </c>
      <c r="C8" s="19" t="s">
        <v>22</v>
      </c>
      <c r="D8" s="19" t="s">
        <v>33</v>
      </c>
      <c r="E8" s="22"/>
      <c r="F8" s="22"/>
      <c r="G8" s="22"/>
      <c r="H8" s="22"/>
      <c r="I8" s="22"/>
    </row>
    <row r="9">
      <c r="A9" s="10">
        <v>5.0</v>
      </c>
      <c r="B9" s="15" t="s">
        <v>35</v>
      </c>
      <c r="C9" s="15" t="s">
        <v>22</v>
      </c>
      <c r="D9" s="19" t="s">
        <v>44</v>
      </c>
      <c r="E9" s="22"/>
      <c r="F9" s="22"/>
      <c r="G9" s="22"/>
      <c r="H9" s="22"/>
      <c r="I9" s="22"/>
    </row>
    <row r="10">
      <c r="A10" s="30">
        <v>6.0</v>
      </c>
      <c r="B10" s="15" t="s">
        <v>50</v>
      </c>
      <c r="C10" s="19" t="s">
        <v>22</v>
      </c>
      <c r="D10" s="19" t="s">
        <v>52</v>
      </c>
      <c r="E10" s="22"/>
      <c r="G10" s="22"/>
      <c r="H10" s="22"/>
      <c r="I10" s="22"/>
    </row>
    <row r="11">
      <c r="A11" s="30">
        <v>7.0</v>
      </c>
      <c r="B11" s="15" t="s">
        <v>57</v>
      </c>
      <c r="C11" s="19" t="s">
        <v>22</v>
      </c>
      <c r="D11" s="19" t="s">
        <v>58</v>
      </c>
      <c r="E11" s="19" t="s">
        <v>40</v>
      </c>
      <c r="F11" s="19" t="s">
        <v>61</v>
      </c>
      <c r="G11" s="19" t="s">
        <v>42</v>
      </c>
      <c r="H11" s="19" t="s">
        <v>43</v>
      </c>
      <c r="I11" s="19" t="s">
        <v>65</v>
      </c>
    </row>
    <row r="12">
      <c r="A12" s="30">
        <v>8.0</v>
      </c>
      <c r="B12" s="15" t="s">
        <v>66</v>
      </c>
      <c r="C12" s="19" t="s">
        <v>38</v>
      </c>
      <c r="D12" s="19" t="s">
        <v>69</v>
      </c>
      <c r="E12" s="22"/>
      <c r="F12" s="22"/>
      <c r="G12" s="22"/>
      <c r="H12" s="22"/>
      <c r="I12" s="22"/>
    </row>
    <row r="13">
      <c r="A13" s="30">
        <v>9.0</v>
      </c>
      <c r="B13" s="15" t="s">
        <v>73</v>
      </c>
      <c r="C13" s="19" t="s">
        <v>22</v>
      </c>
      <c r="D13" s="19" t="s">
        <v>76</v>
      </c>
      <c r="E13" s="19" t="s">
        <v>40</v>
      </c>
      <c r="F13" s="19" t="s">
        <v>61</v>
      </c>
      <c r="G13" s="19" t="s">
        <v>42</v>
      </c>
      <c r="H13" s="19" t="s">
        <v>43</v>
      </c>
      <c r="I13" s="15" t="s">
        <v>78</v>
      </c>
    </row>
    <row r="14">
      <c r="A14" s="30">
        <v>10.0</v>
      </c>
      <c r="B14" s="15" t="s">
        <v>80</v>
      </c>
      <c r="C14" s="19" t="s">
        <v>38</v>
      </c>
      <c r="D14" s="19" t="s">
        <v>81</v>
      </c>
      <c r="E14" s="19" t="s">
        <v>40</v>
      </c>
      <c r="F14" s="19" t="s">
        <v>61</v>
      </c>
      <c r="G14" s="19" t="s">
        <v>42</v>
      </c>
      <c r="H14" s="19" t="s">
        <v>43</v>
      </c>
      <c r="I14" s="19" t="s">
        <v>85</v>
      </c>
    </row>
    <row r="15">
      <c r="A15" s="30">
        <v>11.0</v>
      </c>
      <c r="B15" s="15" t="s">
        <v>86</v>
      </c>
      <c r="C15" s="19" t="s">
        <v>38</v>
      </c>
      <c r="D15" s="19" t="s">
        <v>88</v>
      </c>
      <c r="E15" s="19" t="s">
        <v>53</v>
      </c>
      <c r="F15" s="19" t="s">
        <v>91</v>
      </c>
      <c r="G15" s="19" t="s">
        <v>42</v>
      </c>
      <c r="H15" s="19" t="s">
        <v>43</v>
      </c>
      <c r="I15" s="19" t="s">
        <v>92</v>
      </c>
    </row>
    <row r="16">
      <c r="A16" s="30">
        <v>12.0</v>
      </c>
      <c r="B16" s="15" t="s">
        <v>94</v>
      </c>
      <c r="C16" s="19" t="s">
        <v>38</v>
      </c>
      <c r="D16" s="19" t="s">
        <v>95</v>
      </c>
      <c r="E16" s="19" t="s">
        <v>53</v>
      </c>
      <c r="F16" s="19" t="s">
        <v>91</v>
      </c>
      <c r="G16" s="19" t="s">
        <v>42</v>
      </c>
      <c r="H16" s="19" t="s">
        <v>43</v>
      </c>
      <c r="I16" s="19" t="s">
        <v>99</v>
      </c>
    </row>
    <row r="17">
      <c r="A17" s="30">
        <v>13.0</v>
      </c>
      <c r="B17" s="15" t="s">
        <v>101</v>
      </c>
      <c r="C17" s="19" t="s">
        <v>38</v>
      </c>
      <c r="D17" s="19" t="s">
        <v>103</v>
      </c>
      <c r="E17" s="19" t="s">
        <v>53</v>
      </c>
      <c r="F17" s="19" t="s">
        <v>91</v>
      </c>
      <c r="G17" s="19" t="s">
        <v>42</v>
      </c>
      <c r="H17" s="19" t="s">
        <v>43</v>
      </c>
      <c r="I17" s="19" t="s">
        <v>108</v>
      </c>
    </row>
    <row r="18">
      <c r="A18" s="30">
        <v>14.0</v>
      </c>
      <c r="B18" s="15" t="s">
        <v>110</v>
      </c>
      <c r="C18" s="19" t="s">
        <v>38</v>
      </c>
      <c r="D18" s="19" t="s">
        <v>114</v>
      </c>
      <c r="E18" s="22"/>
      <c r="F18" s="22"/>
      <c r="G18" s="22"/>
      <c r="H18" s="15" t="s">
        <v>117</v>
      </c>
      <c r="I18" s="15" t="s">
        <v>117</v>
      </c>
    </row>
    <row r="19">
      <c r="A19" s="30">
        <v>15.0</v>
      </c>
      <c r="B19" s="15" t="s">
        <v>121</v>
      </c>
      <c r="C19" s="19" t="s">
        <v>22</v>
      </c>
      <c r="D19" s="19" t="s">
        <v>125</v>
      </c>
      <c r="E19" s="22"/>
      <c r="F19" s="22"/>
      <c r="G19" s="22"/>
      <c r="H19" s="22"/>
      <c r="I19" s="22"/>
    </row>
    <row r="20">
      <c r="A20" s="30">
        <v>16.0</v>
      </c>
      <c r="B20" s="15" t="s">
        <v>130</v>
      </c>
      <c r="C20" s="19" t="s">
        <v>22</v>
      </c>
      <c r="D20" s="19" t="s">
        <v>133</v>
      </c>
      <c r="E20" s="22"/>
      <c r="F20" s="22"/>
      <c r="G20" s="22"/>
      <c r="H20" s="22"/>
      <c r="I20" s="22"/>
    </row>
    <row r="21">
      <c r="A21" s="30">
        <v>17.0</v>
      </c>
      <c r="B21" s="15" t="s">
        <v>137</v>
      </c>
      <c r="C21" s="19" t="s">
        <v>22</v>
      </c>
      <c r="D21" s="19" t="s">
        <v>139</v>
      </c>
      <c r="E21" s="22"/>
      <c r="F21" s="22"/>
      <c r="G21" s="22"/>
      <c r="H21" s="22"/>
      <c r="I21" s="22"/>
    </row>
    <row r="22">
      <c r="A22" s="30">
        <v>18.0</v>
      </c>
      <c r="B22" s="15" t="s">
        <v>143</v>
      </c>
      <c r="C22" s="19" t="s">
        <v>22</v>
      </c>
      <c r="D22" s="19" t="s">
        <v>144</v>
      </c>
      <c r="E22" s="22"/>
      <c r="F22" s="22"/>
      <c r="G22" s="22"/>
      <c r="H22" s="22"/>
      <c r="I22" s="22"/>
    </row>
    <row r="23">
      <c r="A23" s="30">
        <v>19.0</v>
      </c>
      <c r="B23" s="15" t="s">
        <v>149</v>
      </c>
      <c r="C23" s="19" t="s">
        <v>22</v>
      </c>
      <c r="D23" s="19" t="s">
        <v>150</v>
      </c>
      <c r="E23" s="22"/>
      <c r="F23" s="22"/>
      <c r="G23" s="22"/>
      <c r="H23" s="22"/>
      <c r="I23" s="22"/>
    </row>
    <row r="24">
      <c r="A24" s="30">
        <v>20.0</v>
      </c>
      <c r="B24" s="15" t="s">
        <v>155</v>
      </c>
      <c r="C24" s="19" t="s">
        <v>22</v>
      </c>
      <c r="D24" s="19" t="s">
        <v>157</v>
      </c>
      <c r="E24" s="22"/>
      <c r="F24" s="22"/>
      <c r="G24" s="22"/>
      <c r="H24" s="22"/>
      <c r="I24" s="22"/>
    </row>
    <row r="27">
      <c r="E27" s="44" t="s">
        <v>162</v>
      </c>
    </row>
    <row r="28">
      <c r="E28" s="45" t="s">
        <v>11</v>
      </c>
      <c r="F28" s="45" t="s">
        <v>177</v>
      </c>
      <c r="G28" s="45" t="s">
        <v>178</v>
      </c>
    </row>
    <row r="29">
      <c r="E29" s="46" t="s">
        <v>25</v>
      </c>
      <c r="F29" s="47">
        <f>COUNTIF($C$5:$C$24,"C")</f>
        <v>14</v>
      </c>
      <c r="G29" s="48">
        <f>F29/F32</f>
        <v>0.7</v>
      </c>
    </row>
    <row r="30">
      <c r="E30" s="46" t="s">
        <v>132</v>
      </c>
      <c r="F30" s="47">
        <f>COUNTIF($C$5:$C$24,"NC")</f>
        <v>6</v>
      </c>
      <c r="G30" s="48">
        <f>F30/F32</f>
        <v>0.3</v>
      </c>
    </row>
    <row r="31">
      <c r="E31" s="46" t="s">
        <v>201</v>
      </c>
      <c r="F31" s="47">
        <f>COUNTIF($C$5:$C$24,"NA")</f>
        <v>0</v>
      </c>
      <c r="G31" s="49" t="s">
        <v>202</v>
      </c>
    </row>
    <row r="32">
      <c r="E32" s="50" t="s">
        <v>203</v>
      </c>
      <c r="F32" s="51">
        <f>F29+F30</f>
        <v>20</v>
      </c>
      <c r="G32" s="52">
        <f>SUM(G29:G30)</f>
        <v>1</v>
      </c>
    </row>
  </sheetData>
  <mergeCells count="3">
    <mergeCell ref="A1:H1"/>
    <mergeCell ref="A2:D2"/>
    <mergeCell ref="E27:G2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90.75"/>
    <col customWidth="1" min="4" max="4" width="55.5"/>
  </cols>
  <sheetData>
    <row r="1">
      <c r="A1" s="1" t="s">
        <v>1</v>
      </c>
    </row>
    <row r="2">
      <c r="A2" s="2"/>
    </row>
    <row r="3">
      <c r="A3" s="3"/>
      <c r="B3" s="3"/>
      <c r="C3" s="3"/>
      <c r="D3" s="3"/>
    </row>
    <row r="4">
      <c r="A4" s="6" t="s">
        <v>4</v>
      </c>
      <c r="B4" s="6" t="s">
        <v>5</v>
      </c>
      <c r="C4" s="8" t="s">
        <v>6</v>
      </c>
      <c r="D4" s="8" t="s">
        <v>8</v>
      </c>
      <c r="E4" s="8" t="s">
        <v>9</v>
      </c>
      <c r="F4" s="8" t="s">
        <v>10</v>
      </c>
      <c r="G4" s="8" t="s">
        <v>12</v>
      </c>
      <c r="H4" s="8" t="s">
        <v>14</v>
      </c>
    </row>
    <row r="5">
      <c r="A5" s="10">
        <v>1.0</v>
      </c>
      <c r="B5" s="15" t="s">
        <v>19</v>
      </c>
      <c r="C5" s="15" t="s">
        <v>22</v>
      </c>
      <c r="D5" s="22"/>
      <c r="E5" s="22"/>
      <c r="F5" s="22"/>
      <c r="G5" s="15" t="s">
        <v>25</v>
      </c>
      <c r="H5" s="22"/>
    </row>
    <row r="6">
      <c r="A6" s="10">
        <v>2.0</v>
      </c>
      <c r="B6" s="15" t="s">
        <v>28</v>
      </c>
      <c r="C6" s="15" t="s">
        <v>22</v>
      </c>
      <c r="D6" s="22"/>
      <c r="E6" s="22"/>
      <c r="F6" s="22"/>
      <c r="G6" s="15" t="s">
        <v>25</v>
      </c>
      <c r="H6" s="22"/>
    </row>
    <row r="7">
      <c r="A7" s="10">
        <v>3.0</v>
      </c>
      <c r="B7" s="15" t="s">
        <v>34</v>
      </c>
      <c r="C7" s="15" t="s">
        <v>22</v>
      </c>
      <c r="D7" s="22"/>
      <c r="E7" s="22"/>
      <c r="F7" s="22"/>
      <c r="G7" s="15" t="s">
        <v>25</v>
      </c>
      <c r="H7" s="22"/>
    </row>
    <row r="8">
      <c r="A8" s="10">
        <v>4.0</v>
      </c>
      <c r="B8" s="15" t="s">
        <v>68</v>
      </c>
      <c r="C8" s="15" t="s">
        <v>22</v>
      </c>
      <c r="D8" s="22"/>
      <c r="E8" s="22"/>
      <c r="F8" s="22"/>
      <c r="G8" s="15" t="s">
        <v>25</v>
      </c>
      <c r="H8" s="22"/>
    </row>
    <row r="9">
      <c r="A9" s="10">
        <v>5.0</v>
      </c>
      <c r="B9" s="15" t="s">
        <v>77</v>
      </c>
      <c r="C9" s="15" t="s">
        <v>22</v>
      </c>
      <c r="D9" s="22"/>
      <c r="E9" s="22"/>
      <c r="F9" s="22"/>
      <c r="G9" s="15" t="s">
        <v>25</v>
      </c>
      <c r="H9" s="22"/>
    </row>
    <row r="10">
      <c r="A10" s="36">
        <v>6.0</v>
      </c>
      <c r="B10" s="39" t="s">
        <v>98</v>
      </c>
      <c r="C10" s="39" t="s">
        <v>22</v>
      </c>
      <c r="D10" s="40"/>
      <c r="E10" s="40"/>
      <c r="F10" s="40"/>
      <c r="G10" s="15" t="s">
        <v>25</v>
      </c>
      <c r="H10" s="40"/>
    </row>
    <row r="11">
      <c r="A11" s="36">
        <v>7.0</v>
      </c>
      <c r="B11" s="39" t="s">
        <v>119</v>
      </c>
      <c r="C11" s="39" t="s">
        <v>38</v>
      </c>
      <c r="D11" s="39" t="s">
        <v>123</v>
      </c>
      <c r="E11" s="39" t="s">
        <v>124</v>
      </c>
      <c r="F11" s="41">
        <v>46365.0</v>
      </c>
      <c r="G11" s="39" t="s">
        <v>132</v>
      </c>
      <c r="H11" s="39" t="s">
        <v>134</v>
      </c>
    </row>
    <row r="12">
      <c r="A12" s="36">
        <v>8.0</v>
      </c>
      <c r="B12" s="39" t="s">
        <v>138</v>
      </c>
      <c r="C12" s="39" t="s">
        <v>22</v>
      </c>
      <c r="D12" s="40"/>
      <c r="E12" s="40"/>
      <c r="F12" s="40"/>
      <c r="G12" s="39" t="s">
        <v>25</v>
      </c>
      <c r="H12" s="40"/>
    </row>
    <row r="13">
      <c r="A13" s="36">
        <v>9.0</v>
      </c>
      <c r="B13" s="39" t="s">
        <v>146</v>
      </c>
      <c r="C13" s="39" t="s">
        <v>22</v>
      </c>
      <c r="D13" s="40"/>
      <c r="E13" s="40"/>
      <c r="F13" s="40"/>
      <c r="G13" s="39" t="s">
        <v>25</v>
      </c>
      <c r="H13" s="40"/>
    </row>
    <row r="14">
      <c r="A14" s="36">
        <v>10.0</v>
      </c>
      <c r="B14" s="39" t="s">
        <v>152</v>
      </c>
      <c r="C14" s="39" t="s">
        <v>22</v>
      </c>
      <c r="D14" s="40"/>
      <c r="E14" s="40"/>
      <c r="F14" s="40"/>
      <c r="G14" s="39" t="s">
        <v>25</v>
      </c>
      <c r="H14" s="40"/>
    </row>
    <row r="15">
      <c r="A15" s="36">
        <v>11.0</v>
      </c>
      <c r="B15" s="39" t="s">
        <v>160</v>
      </c>
      <c r="C15" s="39" t="s">
        <v>22</v>
      </c>
      <c r="D15" s="40"/>
      <c r="E15" s="40"/>
      <c r="F15" s="40"/>
      <c r="G15" s="39" t="s">
        <v>25</v>
      </c>
      <c r="H15" s="40"/>
    </row>
    <row r="16">
      <c r="A16" s="36">
        <v>12.0</v>
      </c>
      <c r="B16" s="39" t="s">
        <v>163</v>
      </c>
      <c r="C16" s="39" t="s">
        <v>22</v>
      </c>
      <c r="D16" s="40"/>
      <c r="E16" s="40"/>
      <c r="F16" s="40"/>
      <c r="G16" s="39" t="s">
        <v>25</v>
      </c>
      <c r="H16" s="40"/>
    </row>
    <row r="17">
      <c r="A17" s="36">
        <v>13.0</v>
      </c>
      <c r="B17" s="39" t="s">
        <v>165</v>
      </c>
      <c r="C17" s="39" t="s">
        <v>22</v>
      </c>
      <c r="D17" s="40"/>
      <c r="E17" s="40"/>
      <c r="F17" s="40"/>
      <c r="G17" s="39" t="s">
        <v>25</v>
      </c>
      <c r="H17" s="40"/>
    </row>
    <row r="18">
      <c r="A18" s="36">
        <v>14.0</v>
      </c>
      <c r="B18" s="39" t="s">
        <v>169</v>
      </c>
      <c r="C18" s="39" t="s">
        <v>22</v>
      </c>
      <c r="D18" s="40"/>
      <c r="E18" s="40"/>
      <c r="F18" s="40"/>
      <c r="G18" s="39" t="s">
        <v>25</v>
      </c>
      <c r="H18" s="40"/>
    </row>
    <row r="19">
      <c r="A19" s="36">
        <v>15.0</v>
      </c>
      <c r="B19" s="39" t="s">
        <v>176</v>
      </c>
      <c r="C19" s="39" t="s">
        <v>22</v>
      </c>
      <c r="D19" s="40"/>
      <c r="E19" s="40"/>
      <c r="F19" s="40"/>
      <c r="G19" s="39" t="s">
        <v>25</v>
      </c>
      <c r="H19" s="40"/>
    </row>
    <row r="20">
      <c r="A20" s="36">
        <v>16.0</v>
      </c>
      <c r="B20" s="39" t="s">
        <v>181</v>
      </c>
      <c r="C20" s="39" t="s">
        <v>22</v>
      </c>
      <c r="D20" s="40"/>
      <c r="E20" s="40"/>
      <c r="F20" s="40"/>
      <c r="G20" s="39" t="s">
        <v>25</v>
      </c>
      <c r="H20" s="40"/>
    </row>
    <row r="21">
      <c r="A21" s="36">
        <v>17.0</v>
      </c>
      <c r="B21" s="39" t="s">
        <v>184</v>
      </c>
      <c r="C21" s="39" t="s">
        <v>22</v>
      </c>
      <c r="D21" s="40"/>
      <c r="E21" s="40"/>
      <c r="F21" s="40"/>
      <c r="G21" s="39" t="s">
        <v>25</v>
      </c>
      <c r="H21" s="40"/>
    </row>
    <row r="22">
      <c r="A22" s="36">
        <v>18.0</v>
      </c>
      <c r="B22" s="39" t="s">
        <v>189</v>
      </c>
      <c r="C22" s="39" t="s">
        <v>174</v>
      </c>
      <c r="D22" s="40"/>
      <c r="E22" s="40"/>
      <c r="F22" s="40"/>
      <c r="G22" s="39" t="s">
        <v>192</v>
      </c>
      <c r="H22" s="40"/>
    </row>
    <row r="23">
      <c r="A23" s="36">
        <v>19.0</v>
      </c>
      <c r="B23" s="39" t="s">
        <v>195</v>
      </c>
      <c r="C23" s="39" t="s">
        <v>22</v>
      </c>
      <c r="D23" s="40"/>
      <c r="E23" s="40"/>
      <c r="F23" s="40"/>
      <c r="G23" s="39" t="s">
        <v>25</v>
      </c>
      <c r="H23" s="40"/>
    </row>
    <row r="24">
      <c r="A24" s="36">
        <v>20.0</v>
      </c>
      <c r="B24" s="39" t="s">
        <v>199</v>
      </c>
      <c r="C24" s="39" t="s">
        <v>174</v>
      </c>
      <c r="D24" s="40"/>
      <c r="E24" s="40"/>
      <c r="F24" s="40"/>
      <c r="G24" s="39" t="s">
        <v>192</v>
      </c>
      <c r="H24" s="40"/>
    </row>
    <row r="26">
      <c r="C26" s="44" t="s">
        <v>162</v>
      </c>
    </row>
    <row r="27">
      <c r="C27" s="45" t="s">
        <v>11</v>
      </c>
      <c r="D27" s="45" t="s">
        <v>177</v>
      </c>
      <c r="E27" s="45" t="s">
        <v>178</v>
      </c>
    </row>
    <row r="28">
      <c r="C28" s="46" t="s">
        <v>25</v>
      </c>
      <c r="D28" s="47">
        <f>COUNTIF($C$5:$C$24,"C")</f>
        <v>17</v>
      </c>
      <c r="E28" s="48">
        <f>D28/D31</f>
        <v>0.9444444444</v>
      </c>
    </row>
    <row r="29">
      <c r="C29" s="46" t="s">
        <v>132</v>
      </c>
      <c r="D29" s="47">
        <f>COUNTIF($C$5:$C$24,"NC")</f>
        <v>1</v>
      </c>
      <c r="E29" s="48">
        <f>D29/D31</f>
        <v>0.05555555556</v>
      </c>
    </row>
    <row r="30">
      <c r="C30" s="46" t="s">
        <v>201</v>
      </c>
      <c r="D30" s="47">
        <f>COUNTIF($C$5:$C$24,"NA")</f>
        <v>2</v>
      </c>
      <c r="E30" s="49" t="s">
        <v>202</v>
      </c>
    </row>
    <row r="31">
      <c r="C31" s="50" t="s">
        <v>203</v>
      </c>
      <c r="D31" s="51">
        <f>D28+D29</f>
        <v>18</v>
      </c>
      <c r="E31" s="52">
        <f>SUM(E28:E29)</f>
        <v>1</v>
      </c>
    </row>
  </sheetData>
  <mergeCells count="3">
    <mergeCell ref="A1:H1"/>
    <mergeCell ref="A2:D2"/>
    <mergeCell ref="C26:E2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90.75"/>
    <col customWidth="1" min="4" max="4" width="55.5"/>
    <col customWidth="1" min="5" max="5" width="20.88"/>
    <col customWidth="1" min="7" max="7" width="15.0"/>
    <col customWidth="1" min="9" max="9" width="27.38"/>
  </cols>
  <sheetData>
    <row r="1">
      <c r="A1" s="5" t="s">
        <v>3</v>
      </c>
      <c r="I1" s="7"/>
    </row>
    <row r="2">
      <c r="A2" s="7"/>
      <c r="E2" s="7"/>
      <c r="F2" s="7"/>
      <c r="G2" s="7"/>
      <c r="H2" s="7"/>
      <c r="I2" s="7"/>
    </row>
    <row r="3">
      <c r="A3" s="7"/>
      <c r="B3" s="7"/>
      <c r="C3" s="7"/>
      <c r="D3" s="7"/>
      <c r="E3" s="7"/>
      <c r="F3" s="7"/>
      <c r="G3" s="7"/>
      <c r="H3" s="7"/>
      <c r="I3" s="7"/>
    </row>
    <row r="4">
      <c r="A4" s="11" t="s">
        <v>4</v>
      </c>
      <c r="B4" s="11" t="s">
        <v>5</v>
      </c>
      <c r="C4" s="13" t="s">
        <v>11</v>
      </c>
      <c r="D4" s="13" t="s">
        <v>13</v>
      </c>
      <c r="E4" s="13" t="s">
        <v>20</v>
      </c>
      <c r="F4" s="13" t="s">
        <v>15</v>
      </c>
      <c r="G4" s="13" t="s">
        <v>16</v>
      </c>
      <c r="H4" s="13" t="s">
        <v>14</v>
      </c>
      <c r="I4" s="13" t="s">
        <v>17</v>
      </c>
    </row>
    <row r="5">
      <c r="A5" s="17">
        <v>1.0</v>
      </c>
      <c r="B5" s="20" t="s">
        <v>21</v>
      </c>
      <c r="C5" s="21" t="s">
        <v>22</v>
      </c>
      <c r="D5" s="21" t="s">
        <v>24</v>
      </c>
      <c r="E5" s="24"/>
      <c r="F5" s="24"/>
      <c r="G5" s="21" t="s">
        <v>25</v>
      </c>
      <c r="H5" s="21"/>
      <c r="I5" s="24"/>
    </row>
    <row r="6">
      <c r="A6" s="17">
        <v>2.0</v>
      </c>
      <c r="B6" s="20" t="s">
        <v>37</v>
      </c>
      <c r="C6" s="21" t="s">
        <v>38</v>
      </c>
      <c r="D6" s="21" t="s">
        <v>39</v>
      </c>
      <c r="E6" s="21" t="s">
        <v>40</v>
      </c>
      <c r="F6" s="24"/>
      <c r="G6" s="21" t="s">
        <v>42</v>
      </c>
      <c r="H6" s="29" t="s">
        <v>43</v>
      </c>
      <c r="I6" s="21" t="s">
        <v>46</v>
      </c>
    </row>
    <row r="7">
      <c r="A7" s="17">
        <v>3.0</v>
      </c>
      <c r="B7" s="20" t="s">
        <v>49</v>
      </c>
      <c r="C7" s="21" t="s">
        <v>38</v>
      </c>
      <c r="D7" s="21" t="s">
        <v>51</v>
      </c>
      <c r="E7" s="21" t="s">
        <v>53</v>
      </c>
      <c r="F7" s="24"/>
      <c r="G7" s="21" t="s">
        <v>42</v>
      </c>
      <c r="H7" s="29" t="s">
        <v>43</v>
      </c>
      <c r="I7" s="21" t="s">
        <v>56</v>
      </c>
    </row>
    <row r="8">
      <c r="A8" s="17">
        <v>4.0</v>
      </c>
      <c r="B8" s="20" t="s">
        <v>59</v>
      </c>
      <c r="C8" s="21" t="s">
        <v>38</v>
      </c>
      <c r="D8" s="21" t="s">
        <v>62</v>
      </c>
      <c r="E8" s="21" t="s">
        <v>53</v>
      </c>
      <c r="F8" s="24"/>
      <c r="G8" s="21" t="s">
        <v>42</v>
      </c>
      <c r="H8" s="29" t="s">
        <v>43</v>
      </c>
      <c r="I8" s="21" t="s">
        <v>67</v>
      </c>
    </row>
    <row r="9">
      <c r="A9" s="17">
        <v>5.0</v>
      </c>
      <c r="B9" s="20" t="s">
        <v>71</v>
      </c>
      <c r="C9" s="21" t="s">
        <v>38</v>
      </c>
      <c r="D9" s="21" t="s">
        <v>74</v>
      </c>
      <c r="E9" s="21" t="s">
        <v>75</v>
      </c>
      <c r="F9" s="24"/>
      <c r="G9" s="21" t="s">
        <v>42</v>
      </c>
      <c r="H9" s="29" t="s">
        <v>43</v>
      </c>
      <c r="I9" s="21" t="s">
        <v>79</v>
      </c>
    </row>
    <row r="10">
      <c r="A10" s="32">
        <v>6.0</v>
      </c>
      <c r="B10" s="33" t="s">
        <v>84</v>
      </c>
      <c r="C10" s="34" t="s">
        <v>38</v>
      </c>
      <c r="D10" s="34" t="s">
        <v>90</v>
      </c>
      <c r="E10" s="34" t="s">
        <v>75</v>
      </c>
      <c r="F10" s="35"/>
      <c r="G10" s="34" t="s">
        <v>42</v>
      </c>
      <c r="H10" s="37" t="s">
        <v>43</v>
      </c>
      <c r="I10" s="34" t="s">
        <v>96</v>
      </c>
    </row>
    <row r="11">
      <c r="A11" s="32">
        <v>7.0</v>
      </c>
      <c r="B11" s="33" t="s">
        <v>100</v>
      </c>
      <c r="C11" s="34" t="s">
        <v>38</v>
      </c>
      <c r="D11" s="34" t="s">
        <v>102</v>
      </c>
      <c r="E11" s="34" t="s">
        <v>53</v>
      </c>
      <c r="F11" s="35"/>
      <c r="G11" s="34" t="s">
        <v>42</v>
      </c>
      <c r="H11" s="37" t="s">
        <v>43</v>
      </c>
      <c r="I11" s="34" t="s">
        <v>106</v>
      </c>
    </row>
    <row r="12">
      <c r="A12" s="32">
        <v>8.0</v>
      </c>
      <c r="B12" s="33" t="s">
        <v>109</v>
      </c>
      <c r="C12" s="34" t="s">
        <v>38</v>
      </c>
      <c r="D12" s="34" t="s">
        <v>112</v>
      </c>
      <c r="E12" s="34" t="s">
        <v>53</v>
      </c>
      <c r="F12" s="35"/>
      <c r="G12" s="34" t="s">
        <v>42</v>
      </c>
      <c r="H12" s="37" t="s">
        <v>43</v>
      </c>
      <c r="I12" s="34" t="s">
        <v>115</v>
      </c>
    </row>
    <row r="13">
      <c r="A13" s="32">
        <v>9.0</v>
      </c>
      <c r="B13" s="33" t="s">
        <v>118</v>
      </c>
      <c r="C13" s="34" t="s">
        <v>38</v>
      </c>
      <c r="D13" s="34" t="s">
        <v>122</v>
      </c>
      <c r="E13" s="34" t="s">
        <v>53</v>
      </c>
      <c r="F13" s="35"/>
      <c r="G13" s="34" t="s">
        <v>42</v>
      </c>
      <c r="H13" s="37" t="s">
        <v>43</v>
      </c>
      <c r="I13" s="34" t="s">
        <v>126</v>
      </c>
    </row>
    <row r="14">
      <c r="A14" s="32">
        <v>10.0</v>
      </c>
      <c r="B14" s="33" t="s">
        <v>128</v>
      </c>
      <c r="C14" s="34" t="s">
        <v>38</v>
      </c>
      <c r="D14" s="34" t="s">
        <v>131</v>
      </c>
      <c r="E14" s="34" t="s">
        <v>53</v>
      </c>
      <c r="F14" s="35"/>
      <c r="G14" s="34" t="s">
        <v>42</v>
      </c>
      <c r="H14" s="37" t="s">
        <v>135</v>
      </c>
      <c r="I14" s="34" t="s">
        <v>136</v>
      </c>
    </row>
    <row r="15">
      <c r="A15" s="32">
        <v>11.0</v>
      </c>
      <c r="B15" s="33" t="s">
        <v>140</v>
      </c>
      <c r="C15" s="34" t="s">
        <v>22</v>
      </c>
      <c r="D15" s="34" t="s">
        <v>141</v>
      </c>
      <c r="E15" s="35"/>
      <c r="F15" s="35"/>
      <c r="G15" s="34" t="s">
        <v>25</v>
      </c>
      <c r="H15" s="34"/>
      <c r="I15" s="35"/>
    </row>
    <row r="16">
      <c r="A16" s="32">
        <v>12.0</v>
      </c>
      <c r="B16" s="33" t="s">
        <v>147</v>
      </c>
      <c r="C16" s="34" t="s">
        <v>38</v>
      </c>
      <c r="D16" s="34" t="s">
        <v>151</v>
      </c>
      <c r="E16" s="34" t="s">
        <v>40</v>
      </c>
      <c r="F16" s="35"/>
      <c r="G16" s="34" t="s">
        <v>42</v>
      </c>
      <c r="H16" s="37" t="s">
        <v>43</v>
      </c>
      <c r="I16" s="34" t="s">
        <v>153</v>
      </c>
    </row>
    <row r="17">
      <c r="A17" s="32">
        <v>13.0</v>
      </c>
      <c r="B17" s="33" t="s">
        <v>158</v>
      </c>
      <c r="C17" s="34" t="s">
        <v>22</v>
      </c>
      <c r="D17" s="34" t="s">
        <v>159</v>
      </c>
      <c r="E17" s="35"/>
      <c r="F17" s="35"/>
      <c r="G17" s="34" t="s">
        <v>25</v>
      </c>
      <c r="H17" s="34"/>
      <c r="I17" s="35"/>
    </row>
    <row r="18">
      <c r="A18" s="32">
        <v>14.0</v>
      </c>
      <c r="B18" s="33" t="s">
        <v>166</v>
      </c>
      <c r="C18" s="34" t="s">
        <v>38</v>
      </c>
      <c r="D18" s="34" t="s">
        <v>167</v>
      </c>
      <c r="E18" s="34" t="s">
        <v>40</v>
      </c>
      <c r="F18" s="35"/>
      <c r="G18" s="34" t="s">
        <v>42</v>
      </c>
      <c r="H18" s="37" t="s">
        <v>43</v>
      </c>
      <c r="I18" s="34" t="s">
        <v>171</v>
      </c>
    </row>
    <row r="19">
      <c r="A19" s="32">
        <v>15.0</v>
      </c>
      <c r="B19" s="33" t="s">
        <v>172</v>
      </c>
      <c r="C19" s="34" t="s">
        <v>22</v>
      </c>
      <c r="D19" s="34" t="s">
        <v>175</v>
      </c>
      <c r="E19" s="35"/>
      <c r="F19" s="35"/>
      <c r="G19" s="34" t="s">
        <v>25</v>
      </c>
      <c r="H19" s="34"/>
      <c r="I19" s="35"/>
    </row>
    <row r="20">
      <c r="A20" s="32">
        <v>16.0</v>
      </c>
      <c r="B20" s="33" t="s">
        <v>180</v>
      </c>
      <c r="C20" s="34" t="s">
        <v>22</v>
      </c>
      <c r="D20" s="34" t="s">
        <v>182</v>
      </c>
      <c r="E20" s="35"/>
      <c r="F20" s="35"/>
      <c r="G20" s="34" t="s">
        <v>25</v>
      </c>
      <c r="H20" s="34"/>
      <c r="I20" s="35"/>
    </row>
    <row r="21">
      <c r="A21" s="32">
        <v>17.0</v>
      </c>
      <c r="B21" s="33" t="s">
        <v>186</v>
      </c>
      <c r="C21" s="34" t="s">
        <v>38</v>
      </c>
      <c r="D21" s="34" t="s">
        <v>188</v>
      </c>
      <c r="E21" s="34" t="s">
        <v>75</v>
      </c>
      <c r="F21" s="35"/>
      <c r="G21" s="34" t="s">
        <v>42</v>
      </c>
      <c r="H21" s="37" t="s">
        <v>43</v>
      </c>
      <c r="I21" s="34" t="s">
        <v>190</v>
      </c>
    </row>
    <row r="22">
      <c r="A22" s="32">
        <v>18.0</v>
      </c>
      <c r="B22" s="33" t="s">
        <v>191</v>
      </c>
      <c r="C22" s="34" t="s">
        <v>38</v>
      </c>
      <c r="D22" s="34" t="s">
        <v>193</v>
      </c>
      <c r="E22" s="34" t="s">
        <v>53</v>
      </c>
      <c r="F22" s="35"/>
      <c r="G22" s="34" t="s">
        <v>42</v>
      </c>
      <c r="H22" s="37" t="s">
        <v>43</v>
      </c>
      <c r="I22" s="34" t="s">
        <v>194</v>
      </c>
    </row>
    <row r="23">
      <c r="A23" s="32">
        <v>19.0</v>
      </c>
      <c r="B23" s="33" t="s">
        <v>196</v>
      </c>
      <c r="C23" s="34" t="s">
        <v>22</v>
      </c>
      <c r="D23" s="34" t="s">
        <v>197</v>
      </c>
      <c r="E23" s="35"/>
      <c r="F23" s="35"/>
      <c r="G23" s="34" t="s">
        <v>25</v>
      </c>
      <c r="H23" s="34"/>
      <c r="I23" s="35"/>
    </row>
    <row r="24">
      <c r="A24" s="32">
        <v>20.0</v>
      </c>
      <c r="B24" s="33" t="s">
        <v>198</v>
      </c>
      <c r="C24" s="34" t="s">
        <v>174</v>
      </c>
      <c r="D24" s="34" t="s">
        <v>200</v>
      </c>
      <c r="E24" s="35"/>
      <c r="F24" s="35"/>
      <c r="G24" s="34" t="s">
        <v>201</v>
      </c>
      <c r="H24" s="34"/>
      <c r="I24" s="35"/>
    </row>
    <row r="26">
      <c r="E26" s="44" t="s">
        <v>162</v>
      </c>
    </row>
    <row r="27">
      <c r="E27" s="45" t="s">
        <v>11</v>
      </c>
      <c r="F27" s="45" t="s">
        <v>177</v>
      </c>
      <c r="G27" s="45" t="s">
        <v>178</v>
      </c>
    </row>
    <row r="28">
      <c r="E28" s="46" t="s">
        <v>25</v>
      </c>
      <c r="F28" s="47">
        <f>COUNTIF($C$5:$C$24,"C")</f>
        <v>6</v>
      </c>
      <c r="G28" s="48">
        <f>F28/F31</f>
        <v>0.3157894737</v>
      </c>
    </row>
    <row r="29">
      <c r="E29" s="46" t="s">
        <v>132</v>
      </c>
      <c r="F29" s="47">
        <f>COUNTIF($C$5:$C$24,"NC")</f>
        <v>13</v>
      </c>
      <c r="G29" s="48">
        <f>F29/F31</f>
        <v>0.6842105263</v>
      </c>
    </row>
    <row r="30">
      <c r="E30" s="46" t="s">
        <v>201</v>
      </c>
      <c r="F30" s="47">
        <f>COUNTIF($C$5:$C$24,"NA")</f>
        <v>1</v>
      </c>
      <c r="G30" s="49" t="s">
        <v>202</v>
      </c>
    </row>
    <row r="31">
      <c r="E31" s="50" t="s">
        <v>203</v>
      </c>
      <c r="F31" s="51">
        <f>F28+F29</f>
        <v>19</v>
      </c>
      <c r="G31" s="52">
        <f>SUM(G28:G29)</f>
        <v>1</v>
      </c>
    </row>
  </sheetData>
  <mergeCells count="3">
    <mergeCell ref="A1:H1"/>
    <mergeCell ref="A2:D2"/>
    <mergeCell ref="E26:G2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6.13"/>
    <col customWidth="1" min="3" max="3" width="17.38"/>
    <col customWidth="1" min="4" max="4" width="101.88"/>
    <col customWidth="1" min="5" max="5" width="36.5"/>
    <col customWidth="1" min="7" max="7" width="16.63"/>
    <col customWidth="1" min="8" max="8" width="12.63"/>
    <col customWidth="1" min="9" max="9" width="54.0"/>
  </cols>
  <sheetData>
    <row r="1">
      <c r="A1" s="53" t="s">
        <v>204</v>
      </c>
    </row>
    <row r="2">
      <c r="A2" s="54"/>
      <c r="F2" s="54"/>
      <c r="G2" s="54"/>
      <c r="H2" s="54"/>
      <c r="I2" s="54"/>
    </row>
    <row r="3">
      <c r="A3" s="54"/>
      <c r="B3" s="54"/>
      <c r="C3" s="54"/>
      <c r="D3" s="54"/>
      <c r="E3" s="54"/>
      <c r="F3" s="54"/>
      <c r="G3" s="54"/>
      <c r="H3" s="54"/>
      <c r="I3" s="54"/>
    </row>
    <row r="4">
      <c r="A4" s="55" t="s">
        <v>4</v>
      </c>
      <c r="B4" s="55" t="s">
        <v>5</v>
      </c>
      <c r="C4" s="23" t="s">
        <v>11</v>
      </c>
      <c r="D4" s="23" t="s">
        <v>13</v>
      </c>
      <c r="E4" s="23" t="s">
        <v>20</v>
      </c>
      <c r="F4" s="23" t="s">
        <v>15</v>
      </c>
      <c r="G4" s="56" t="s">
        <v>205</v>
      </c>
      <c r="H4" s="23" t="s">
        <v>14</v>
      </c>
      <c r="I4" s="23" t="s">
        <v>17</v>
      </c>
      <c r="J4" s="7"/>
    </row>
    <row r="5">
      <c r="A5" s="57">
        <v>1.0</v>
      </c>
      <c r="B5" s="58" t="s">
        <v>206</v>
      </c>
      <c r="C5" s="59" t="s">
        <v>22</v>
      </c>
      <c r="D5" s="59" t="s">
        <v>207</v>
      </c>
      <c r="E5" s="59" t="s">
        <v>208</v>
      </c>
      <c r="F5" s="59" t="s">
        <v>209</v>
      </c>
      <c r="G5" s="59" t="s">
        <v>25</v>
      </c>
      <c r="H5" s="59"/>
      <c r="I5" s="59" t="s">
        <v>209</v>
      </c>
    </row>
    <row r="6">
      <c r="A6" s="57">
        <v>2.0</v>
      </c>
      <c r="B6" s="58" t="s">
        <v>210</v>
      </c>
      <c r="C6" s="59" t="s">
        <v>22</v>
      </c>
      <c r="D6" s="60" t="s">
        <v>211</v>
      </c>
      <c r="E6" s="59" t="s">
        <v>208</v>
      </c>
      <c r="F6" s="59" t="s">
        <v>209</v>
      </c>
      <c r="G6" s="59" t="s">
        <v>25</v>
      </c>
      <c r="H6" s="59"/>
      <c r="I6" s="59" t="s">
        <v>209</v>
      </c>
    </row>
    <row r="7">
      <c r="A7" s="57">
        <v>3.0</v>
      </c>
      <c r="B7" s="58" t="s">
        <v>212</v>
      </c>
      <c r="C7" s="59" t="s">
        <v>22</v>
      </c>
      <c r="D7" s="59" t="s">
        <v>213</v>
      </c>
      <c r="E7" s="59" t="s">
        <v>208</v>
      </c>
      <c r="F7" s="59" t="s">
        <v>209</v>
      </c>
      <c r="G7" s="59" t="s">
        <v>25</v>
      </c>
      <c r="H7" s="59"/>
      <c r="I7" s="59" t="s">
        <v>209</v>
      </c>
    </row>
    <row r="8">
      <c r="A8" s="57">
        <v>4.0</v>
      </c>
      <c r="B8" s="58" t="s">
        <v>214</v>
      </c>
      <c r="C8" s="59" t="s">
        <v>22</v>
      </c>
      <c r="D8" s="59" t="s">
        <v>215</v>
      </c>
      <c r="E8" s="59" t="s">
        <v>209</v>
      </c>
      <c r="F8" s="59" t="s">
        <v>209</v>
      </c>
      <c r="G8" s="59" t="s">
        <v>25</v>
      </c>
      <c r="H8" s="59"/>
      <c r="I8" s="59" t="s">
        <v>209</v>
      </c>
    </row>
    <row r="9">
      <c r="A9" s="57">
        <v>5.0</v>
      </c>
      <c r="B9" s="58" t="s">
        <v>216</v>
      </c>
      <c r="C9" s="59" t="s">
        <v>22</v>
      </c>
      <c r="D9" s="59" t="s">
        <v>217</v>
      </c>
      <c r="E9" s="59" t="s">
        <v>208</v>
      </c>
      <c r="F9" s="59" t="s">
        <v>209</v>
      </c>
      <c r="G9" s="59" t="s">
        <v>25</v>
      </c>
      <c r="H9" s="59"/>
      <c r="I9" s="59" t="s">
        <v>209</v>
      </c>
    </row>
    <row r="10" ht="39.0" customHeight="1">
      <c r="A10" s="57">
        <v>6.0</v>
      </c>
      <c r="B10" s="58" t="s">
        <v>218</v>
      </c>
      <c r="C10" s="59" t="s">
        <v>38</v>
      </c>
      <c r="D10" s="59" t="s">
        <v>219</v>
      </c>
      <c r="E10" s="59" t="s">
        <v>40</v>
      </c>
      <c r="F10" s="61">
        <v>46274.0</v>
      </c>
      <c r="G10" s="59" t="s">
        <v>42</v>
      </c>
      <c r="H10" s="62" t="s">
        <v>220</v>
      </c>
      <c r="I10" s="63" t="s">
        <v>221</v>
      </c>
      <c r="J10" s="64"/>
      <c r="K10" s="64"/>
    </row>
    <row r="11">
      <c r="A11" s="57">
        <v>7.0</v>
      </c>
      <c r="B11" s="58" t="s">
        <v>222</v>
      </c>
      <c r="C11" s="59" t="s">
        <v>22</v>
      </c>
      <c r="D11" s="59" t="s">
        <v>223</v>
      </c>
      <c r="E11" s="59" t="s">
        <v>209</v>
      </c>
      <c r="F11" s="59" t="s">
        <v>209</v>
      </c>
      <c r="G11" s="59" t="s">
        <v>25</v>
      </c>
      <c r="H11" s="62"/>
      <c r="I11" s="65" t="s">
        <v>209</v>
      </c>
    </row>
    <row r="12">
      <c r="A12" s="57">
        <v>8.0</v>
      </c>
      <c r="B12" s="58" t="s">
        <v>224</v>
      </c>
      <c r="C12" s="59" t="s">
        <v>22</v>
      </c>
      <c r="D12" s="59" t="s">
        <v>225</v>
      </c>
      <c r="E12" s="59" t="s">
        <v>208</v>
      </c>
      <c r="F12" s="59" t="s">
        <v>209</v>
      </c>
      <c r="G12" s="59" t="s">
        <v>25</v>
      </c>
      <c r="H12" s="62"/>
      <c r="I12" s="62"/>
    </row>
    <row r="13" ht="40.5" customHeight="1">
      <c r="A13" s="57">
        <v>9.0</v>
      </c>
      <c r="B13" s="58" t="s">
        <v>226</v>
      </c>
      <c r="C13" s="59" t="s">
        <v>38</v>
      </c>
      <c r="D13" s="59" t="s">
        <v>227</v>
      </c>
      <c r="E13" s="59" t="s">
        <v>53</v>
      </c>
      <c r="F13" s="59" t="s">
        <v>107</v>
      </c>
      <c r="G13" s="59" t="s">
        <v>42</v>
      </c>
      <c r="H13" s="62" t="s">
        <v>220</v>
      </c>
      <c r="I13" s="66" t="s">
        <v>228</v>
      </c>
    </row>
    <row r="14" ht="36.0" customHeight="1">
      <c r="A14" s="57">
        <v>10.0</v>
      </c>
      <c r="B14" s="58" t="s">
        <v>229</v>
      </c>
      <c r="C14" s="59" t="s">
        <v>38</v>
      </c>
      <c r="D14" s="59" t="s">
        <v>230</v>
      </c>
      <c r="E14" s="59" t="s">
        <v>53</v>
      </c>
      <c r="F14" s="59" t="s">
        <v>107</v>
      </c>
      <c r="G14" s="59" t="s">
        <v>42</v>
      </c>
      <c r="H14" s="62" t="s">
        <v>220</v>
      </c>
      <c r="I14" s="66" t="s">
        <v>231</v>
      </c>
    </row>
    <row r="15">
      <c r="A15" s="57">
        <v>11.0</v>
      </c>
      <c r="B15" s="58" t="s">
        <v>232</v>
      </c>
      <c r="C15" s="59" t="s">
        <v>38</v>
      </c>
      <c r="D15" s="59" t="s">
        <v>233</v>
      </c>
      <c r="E15" s="59" t="s">
        <v>40</v>
      </c>
      <c r="F15" s="61">
        <v>46274.0</v>
      </c>
      <c r="G15" s="59" t="s">
        <v>42</v>
      </c>
      <c r="H15" s="62" t="s">
        <v>220</v>
      </c>
      <c r="I15" s="66" t="s">
        <v>234</v>
      </c>
    </row>
    <row r="16">
      <c r="A16" s="57">
        <v>12.0</v>
      </c>
      <c r="B16" s="58" t="s">
        <v>235</v>
      </c>
      <c r="C16" s="59" t="s">
        <v>22</v>
      </c>
      <c r="D16" s="59" t="s">
        <v>236</v>
      </c>
      <c r="E16" s="59" t="s">
        <v>208</v>
      </c>
      <c r="F16" s="59" t="s">
        <v>209</v>
      </c>
      <c r="G16" s="59" t="s">
        <v>25</v>
      </c>
      <c r="H16" s="62"/>
      <c r="I16" s="65" t="s">
        <v>209</v>
      </c>
    </row>
    <row r="17">
      <c r="A17" s="57">
        <v>13.0</v>
      </c>
      <c r="B17" s="58" t="s">
        <v>237</v>
      </c>
      <c r="C17" s="59" t="s">
        <v>22</v>
      </c>
      <c r="D17" s="59" t="s">
        <v>238</v>
      </c>
      <c r="E17" s="59" t="s">
        <v>208</v>
      </c>
      <c r="F17" s="59" t="s">
        <v>209</v>
      </c>
      <c r="G17" s="59" t="s">
        <v>25</v>
      </c>
      <c r="H17" s="62"/>
      <c r="I17" s="65" t="s">
        <v>209</v>
      </c>
    </row>
    <row r="18">
      <c r="A18" s="67">
        <v>14.0</v>
      </c>
      <c r="B18" s="68" t="s">
        <v>239</v>
      </c>
      <c r="C18" s="69" t="s">
        <v>38</v>
      </c>
      <c r="D18" s="69" t="s">
        <v>240</v>
      </c>
      <c r="E18" s="69" t="s">
        <v>40</v>
      </c>
      <c r="F18" s="70">
        <v>46274.0</v>
      </c>
      <c r="G18" s="69" t="s">
        <v>42</v>
      </c>
      <c r="H18" s="71" t="s">
        <v>220</v>
      </c>
      <c r="I18" s="72" t="s">
        <v>241</v>
      </c>
    </row>
    <row r="19">
      <c r="A19" s="67">
        <v>15.0</v>
      </c>
      <c r="B19" s="68" t="s">
        <v>242</v>
      </c>
      <c r="C19" s="69" t="s">
        <v>22</v>
      </c>
      <c r="D19" s="69" t="s">
        <v>243</v>
      </c>
      <c r="E19" s="69" t="s">
        <v>209</v>
      </c>
      <c r="F19" s="69" t="s">
        <v>209</v>
      </c>
      <c r="G19" s="69" t="s">
        <v>25</v>
      </c>
      <c r="H19" s="71"/>
      <c r="I19" s="69" t="s">
        <v>209</v>
      </c>
    </row>
    <row r="20">
      <c r="A20" s="67">
        <v>16.0</v>
      </c>
      <c r="B20" s="68" t="s">
        <v>244</v>
      </c>
      <c r="C20" s="69" t="s">
        <v>22</v>
      </c>
      <c r="D20" s="69" t="s">
        <v>245</v>
      </c>
      <c r="E20" s="69" t="s">
        <v>208</v>
      </c>
      <c r="F20" s="69" t="s">
        <v>209</v>
      </c>
      <c r="G20" s="69" t="s">
        <v>25</v>
      </c>
      <c r="H20" s="71"/>
      <c r="I20" s="69" t="s">
        <v>209</v>
      </c>
    </row>
    <row r="21">
      <c r="A21" s="67">
        <v>17.0</v>
      </c>
      <c r="B21" s="68" t="s">
        <v>246</v>
      </c>
      <c r="C21" s="69" t="s">
        <v>22</v>
      </c>
      <c r="D21" s="69" t="s">
        <v>247</v>
      </c>
      <c r="E21" s="69" t="s">
        <v>208</v>
      </c>
      <c r="F21" s="69" t="s">
        <v>209</v>
      </c>
      <c r="G21" s="69" t="s">
        <v>25</v>
      </c>
      <c r="H21" s="71"/>
      <c r="I21" s="69" t="s">
        <v>209</v>
      </c>
    </row>
    <row r="22">
      <c r="A22" s="67">
        <v>18.0</v>
      </c>
      <c r="B22" s="73" t="s">
        <v>248</v>
      </c>
      <c r="C22" s="69" t="s">
        <v>22</v>
      </c>
      <c r="D22" s="69" t="s">
        <v>249</v>
      </c>
      <c r="E22" s="69" t="s">
        <v>208</v>
      </c>
      <c r="F22" s="69" t="s">
        <v>209</v>
      </c>
      <c r="G22" s="69" t="s">
        <v>25</v>
      </c>
      <c r="H22" s="69"/>
      <c r="I22" s="69" t="s">
        <v>209</v>
      </c>
    </row>
    <row r="23">
      <c r="A23" s="67">
        <v>19.0</v>
      </c>
      <c r="B23" s="68" t="s">
        <v>250</v>
      </c>
      <c r="C23" s="69" t="s">
        <v>22</v>
      </c>
      <c r="D23" s="69" t="s">
        <v>251</v>
      </c>
      <c r="E23" s="69" t="s">
        <v>208</v>
      </c>
      <c r="F23" s="69" t="s">
        <v>209</v>
      </c>
      <c r="G23" s="69" t="s">
        <v>25</v>
      </c>
      <c r="H23" s="69"/>
      <c r="I23" s="69" t="s">
        <v>209</v>
      </c>
    </row>
    <row r="24">
      <c r="A24" s="67">
        <v>20.0</v>
      </c>
      <c r="B24" s="68" t="s">
        <v>252</v>
      </c>
      <c r="C24" s="69" t="s">
        <v>22</v>
      </c>
      <c r="D24" s="69" t="s">
        <v>253</v>
      </c>
      <c r="E24" s="69" t="s">
        <v>208</v>
      </c>
      <c r="F24" s="69" t="s">
        <v>209</v>
      </c>
      <c r="G24" s="69" t="s">
        <v>25</v>
      </c>
      <c r="H24" s="69"/>
      <c r="I24" s="69" t="s">
        <v>209</v>
      </c>
    </row>
    <row r="25">
      <c r="A25" s="74"/>
      <c r="B25" s="74"/>
      <c r="C25" s="54"/>
      <c r="D25" s="54"/>
      <c r="E25" s="54"/>
      <c r="F25" s="54"/>
      <c r="G25" s="54"/>
      <c r="H25" s="54"/>
      <c r="I25" s="54"/>
    </row>
    <row r="26">
      <c r="A26" s="74"/>
      <c r="B26" s="74"/>
      <c r="C26" s="54"/>
      <c r="D26" s="54"/>
      <c r="E26" s="44" t="s">
        <v>162</v>
      </c>
      <c r="H26" s="54"/>
      <c r="I26" s="54"/>
    </row>
    <row r="27">
      <c r="A27" s="74"/>
      <c r="B27" s="74"/>
      <c r="C27" s="54"/>
      <c r="D27" s="54"/>
      <c r="E27" s="45" t="s">
        <v>11</v>
      </c>
      <c r="F27" s="45" t="s">
        <v>177</v>
      </c>
      <c r="G27" s="45" t="s">
        <v>178</v>
      </c>
      <c r="H27" s="54"/>
      <c r="I27" s="54"/>
    </row>
    <row r="28">
      <c r="A28" s="75"/>
      <c r="B28" s="75"/>
      <c r="C28" s="7"/>
      <c r="D28" s="7"/>
      <c r="E28" s="46" t="s">
        <v>25</v>
      </c>
      <c r="F28" s="47">
        <f>COUNTIF($C$5:$C$24,"C")</f>
        <v>15</v>
      </c>
      <c r="G28" s="48">
        <f>F28/F31</f>
        <v>0.75</v>
      </c>
      <c r="H28" s="7"/>
      <c r="I28" s="7"/>
    </row>
    <row r="29">
      <c r="A29" s="76"/>
      <c r="B29" s="77"/>
      <c r="E29" s="46" t="s">
        <v>132</v>
      </c>
      <c r="F29" s="47">
        <f>COUNTIF($C$5:$C$24,"NC")</f>
        <v>5</v>
      </c>
      <c r="G29" s="48">
        <f>F29/F31</f>
        <v>0.25</v>
      </c>
    </row>
    <row r="30">
      <c r="E30" s="46" t="s">
        <v>201</v>
      </c>
      <c r="F30" s="47">
        <f>COUNTIF($C$5:$C$24,"NA")</f>
        <v>0</v>
      </c>
      <c r="G30" s="49" t="s">
        <v>202</v>
      </c>
    </row>
    <row r="31">
      <c r="E31" s="50" t="s">
        <v>203</v>
      </c>
      <c r="F31" s="51">
        <f>F28+F29</f>
        <v>20</v>
      </c>
      <c r="G31" s="52">
        <f>SUM(G28:G29)</f>
        <v>1</v>
      </c>
    </row>
  </sheetData>
  <mergeCells count="3">
    <mergeCell ref="A1:I1"/>
    <mergeCell ref="A2:E2"/>
    <mergeCell ref="E26:G2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